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4"/>
  <workbookPr hidePivotFieldList="1"/>
  <mc:AlternateContent xmlns:mc="http://schemas.openxmlformats.org/markup-compatibility/2006">
    <mc:Choice Requires="x15">
      <x15ac:absPath xmlns:x15ac="http://schemas.microsoft.com/office/spreadsheetml/2010/11/ac" url="/Users/kaden/Downloads/"/>
    </mc:Choice>
  </mc:AlternateContent>
  <xr:revisionPtr revIDLastSave="0" documentId="13_ncr:1_{7E5FF29F-1BED-9046-AA90-2279C7386CC7}" xr6:coauthVersionLast="47" xr6:coauthVersionMax="47" xr10:uidLastSave="{00000000-0000-0000-0000-000000000000}"/>
  <bookViews>
    <workbookView xWindow="20" yWindow="740" windowWidth="25540" windowHeight="15000" firstSheet="5" activeTab="10" xr2:uid="{8F11F351-848F-45E6-8849-43043900B187}"/>
  </bookViews>
  <sheets>
    <sheet name="Preview" sheetId="19" r:id="rId1"/>
    <sheet name="master" sheetId="1" r:id="rId2"/>
    <sheet name="group 1 - NA &amp; C" sheetId="8" r:id="rId3"/>
    <sheet name="group 2 - SA &amp; CA" sheetId="9" r:id="rId4"/>
    <sheet name="group 3 - EU, APAC, MENA " sheetId="10" r:id="rId5"/>
    <sheet name="country groupings" sheetId="7" r:id="rId6"/>
    <sheet name="trade-to-gdp ratio" sheetId="11" r:id="rId7"/>
    <sheet name="master t-t-gdp" sheetId="17" r:id="rId8"/>
    <sheet name="tariff rates" sheetId="12" r:id="rId9"/>
    <sheet name="master tariff rates" sheetId="16" r:id="rId10"/>
    <sheet name="political landscape" sheetId="15" r:id="rId11"/>
    <sheet name="master political landscape" sheetId="18" r:id="rId12"/>
  </sheets>
  <definedNames>
    <definedName name="_xlnm._FilterDatabase" localSheetId="6" hidden="1">'trade-to-gdp ratio'!$A$1:$A$183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66" i="1" l="1"/>
  <c r="D66" i="1"/>
  <c r="I27" i="8"/>
  <c r="D27" i="8"/>
  <c r="B46" i="1"/>
  <c r="B45" i="1"/>
  <c r="B44" i="1"/>
  <c r="B43" i="1"/>
  <c r="B42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D64" i="1"/>
  <c r="D63" i="1"/>
  <c r="D46" i="1"/>
  <c r="D44" i="1"/>
  <c r="D43" i="1"/>
  <c r="D42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5" i="1"/>
  <c r="D24" i="1"/>
  <c r="D23" i="1"/>
  <c r="D22" i="1"/>
  <c r="D21" i="1"/>
  <c r="D20" i="1"/>
  <c r="D19" i="1"/>
  <c r="D17" i="1"/>
  <c r="D16" i="1"/>
  <c r="D12" i="1"/>
  <c r="D6" i="1"/>
  <c r="I63" i="1"/>
  <c r="I46" i="1"/>
  <c r="I33" i="1"/>
  <c r="I32" i="1"/>
  <c r="I31" i="1"/>
  <c r="I29" i="1"/>
  <c r="I28" i="1"/>
  <c r="I25" i="1"/>
  <c r="I21" i="1"/>
  <c r="I17" i="1"/>
  <c r="I16" i="1"/>
  <c r="K2" i="18"/>
  <c r="J2" i="18"/>
  <c r="I2" i="18"/>
  <c r="H2" i="18"/>
  <c r="G2" i="18"/>
  <c r="F2" i="18"/>
  <c r="K2" i="16"/>
  <c r="J2" i="16"/>
  <c r="I2" i="16"/>
  <c r="H2" i="16"/>
  <c r="G2" i="16"/>
  <c r="F2" i="16"/>
  <c r="K2" i="17"/>
  <c r="J2" i="17"/>
  <c r="I2" i="17"/>
  <c r="H2" i="17"/>
  <c r="G2" i="17"/>
  <c r="F2" i="17"/>
  <c r="B15" i="17"/>
  <c r="B20" i="17"/>
  <c r="B27" i="17"/>
  <c r="B26" i="17"/>
  <c r="B25" i="17"/>
  <c r="B24" i="17"/>
  <c r="B49" i="17"/>
  <c r="B47" i="17"/>
  <c r="B46" i="17"/>
  <c r="B45" i="17"/>
  <c r="B43" i="17"/>
  <c r="B42" i="17"/>
  <c r="B41" i="17"/>
  <c r="B40" i="17"/>
  <c r="B39" i="17"/>
  <c r="B38" i="17"/>
  <c r="B37" i="17"/>
  <c r="B36" i="17"/>
  <c r="B35" i="17"/>
  <c r="B34" i="17"/>
  <c r="B33" i="17"/>
  <c r="B32" i="17"/>
  <c r="B31" i="17"/>
  <c r="B28" i="17"/>
  <c r="B23" i="17"/>
  <c r="B22" i="17"/>
  <c r="B19" i="17"/>
  <c r="B9" i="17"/>
  <c r="B67" i="17"/>
  <c r="B66" i="17"/>
  <c r="B49" i="16"/>
  <c r="B48" i="16"/>
  <c r="B47" i="16"/>
  <c r="B46" i="16"/>
  <c r="B45" i="16"/>
  <c r="B44" i="16"/>
  <c r="B43" i="16"/>
  <c r="B42" i="16"/>
  <c r="B41" i="16"/>
  <c r="B40" i="16"/>
  <c r="B39" i="16"/>
  <c r="B38" i="16"/>
  <c r="B37" i="16"/>
  <c r="B36" i="16"/>
  <c r="B35" i="16"/>
  <c r="B34" i="16"/>
  <c r="B33" i="16"/>
  <c r="B32" i="16"/>
  <c r="B31" i="16"/>
  <c r="B30" i="16"/>
  <c r="I65" i="1"/>
  <c r="I64" i="1"/>
  <c r="I62" i="1"/>
  <c r="I61" i="1"/>
  <c r="I60" i="1"/>
  <c r="I59" i="1"/>
  <c r="I58" i="1"/>
  <c r="I57" i="1"/>
  <c r="I56" i="1"/>
  <c r="I55" i="1"/>
  <c r="I54" i="1"/>
  <c r="I53" i="1"/>
  <c r="I52" i="1"/>
  <c r="I51" i="1"/>
  <c r="I50" i="1"/>
  <c r="I49" i="1"/>
  <c r="I48" i="1"/>
  <c r="I47" i="1"/>
  <c r="I45" i="1"/>
  <c r="I44" i="1"/>
  <c r="I43" i="1"/>
  <c r="I42" i="1"/>
  <c r="I40" i="1"/>
  <c r="I39" i="1"/>
  <c r="I38" i="1"/>
  <c r="I37" i="1"/>
  <c r="I36" i="1"/>
  <c r="I34" i="1"/>
  <c r="I30" i="1"/>
  <c r="I27" i="1"/>
  <c r="I26" i="1"/>
  <c r="I24" i="1"/>
  <c r="I23" i="1"/>
  <c r="I22" i="1"/>
  <c r="I20" i="1"/>
  <c r="I19" i="1"/>
  <c r="I18" i="1"/>
  <c r="I15" i="1"/>
  <c r="I14" i="1"/>
  <c r="I13" i="1"/>
  <c r="I12" i="1"/>
  <c r="I11" i="1"/>
  <c r="I10" i="1"/>
  <c r="I9" i="1"/>
  <c r="I8" i="1"/>
  <c r="I7" i="1"/>
  <c r="I6" i="1"/>
  <c r="I7" i="9"/>
  <c r="I8" i="9"/>
  <c r="I9" i="9"/>
  <c r="I10" i="9"/>
  <c r="I11" i="9"/>
  <c r="I12" i="9"/>
  <c r="I13" i="9"/>
  <c r="I15" i="9"/>
  <c r="I16" i="9"/>
  <c r="I17" i="9"/>
  <c r="I18" i="9"/>
  <c r="I19" i="9"/>
  <c r="I21" i="9"/>
  <c r="I22" i="9"/>
  <c r="I23" i="9"/>
  <c r="I24" i="9"/>
  <c r="I25" i="9"/>
  <c r="I6" i="9"/>
  <c r="I6" i="8"/>
  <c r="I21" i="10"/>
  <c r="I22" i="10"/>
  <c r="I7" i="10"/>
  <c r="I8" i="10"/>
  <c r="I9" i="10"/>
  <c r="I10" i="10"/>
  <c r="I11" i="10"/>
  <c r="I12" i="10"/>
  <c r="I13" i="10"/>
  <c r="I14" i="10"/>
  <c r="I15" i="10"/>
  <c r="I16" i="10"/>
  <c r="I17" i="10"/>
  <c r="I18" i="10"/>
  <c r="I19" i="10"/>
  <c r="I20" i="10"/>
  <c r="I23" i="10"/>
  <c r="I24" i="10"/>
  <c r="I6" i="10"/>
  <c r="I7" i="8"/>
  <c r="I8" i="8"/>
  <c r="I9" i="8"/>
  <c r="I10" i="8"/>
  <c r="I11" i="8"/>
  <c r="I12" i="8"/>
  <c r="I13" i="8"/>
  <c r="I14" i="8"/>
  <c r="I15" i="8"/>
  <c r="I16" i="8"/>
  <c r="I17" i="8"/>
  <c r="I18" i="8"/>
  <c r="I19" i="8"/>
  <c r="I20" i="8"/>
  <c r="I21" i="8"/>
  <c r="I22" i="8"/>
  <c r="I23" i="8"/>
  <c r="I24" i="8"/>
  <c r="I25" i="8"/>
  <c r="I26" i="8"/>
  <c r="D23" i="10"/>
  <c r="D22" i="10"/>
  <c r="D6" i="8"/>
  <c r="D12" i="8"/>
  <c r="D25" i="8"/>
  <c r="D20" i="8"/>
  <c r="D17" i="8"/>
  <c r="D16" i="8"/>
  <c r="J2" i="12"/>
  <c r="K2" i="12"/>
  <c r="L2" i="12"/>
  <c r="M2" i="12"/>
  <c r="N2" i="12"/>
  <c r="G3" i="12"/>
  <c r="G4" i="12"/>
  <c r="G5" i="12"/>
  <c r="G6" i="12"/>
  <c r="G7" i="12"/>
  <c r="G8" i="12"/>
  <c r="G9" i="12"/>
  <c r="G10" i="12"/>
  <c r="G11" i="12"/>
  <c r="G12" i="12"/>
  <c r="G13" i="12"/>
  <c r="G14" i="12"/>
  <c r="G15" i="12"/>
  <c r="G16" i="12"/>
  <c r="G17" i="12"/>
  <c r="G18" i="12"/>
  <c r="G19" i="12"/>
  <c r="G20" i="12"/>
  <c r="G21" i="12"/>
  <c r="G22" i="12"/>
  <c r="G23" i="12"/>
  <c r="G24" i="12"/>
  <c r="G25" i="12"/>
  <c r="G26" i="12"/>
  <c r="G27" i="12"/>
  <c r="G28" i="12"/>
  <c r="G29" i="12"/>
  <c r="G30" i="12"/>
  <c r="G31" i="12"/>
  <c r="G32" i="12"/>
  <c r="G33" i="12"/>
  <c r="G34" i="12"/>
  <c r="G35" i="12"/>
  <c r="G36" i="12"/>
  <c r="G37" i="12"/>
  <c r="G38" i="12"/>
  <c r="G39" i="12"/>
  <c r="G40" i="12"/>
  <c r="G41" i="12"/>
  <c r="G42" i="12"/>
  <c r="G43" i="12"/>
  <c r="G44" i="12"/>
  <c r="G45" i="12"/>
  <c r="G46" i="12"/>
  <c r="G47" i="12"/>
  <c r="G48" i="12"/>
  <c r="G49" i="12"/>
  <c r="G50" i="12"/>
  <c r="G51" i="12"/>
  <c r="G52" i="12"/>
  <c r="G53" i="12"/>
  <c r="G54" i="12"/>
  <c r="G55" i="12"/>
  <c r="G56" i="12"/>
  <c r="G57" i="12"/>
  <c r="G58" i="12"/>
  <c r="G59" i="12"/>
  <c r="G60" i="12"/>
  <c r="G61" i="12"/>
  <c r="G62" i="12"/>
  <c r="G63" i="12"/>
  <c r="G64" i="12"/>
  <c r="G65" i="12"/>
  <c r="G66" i="12"/>
  <c r="G67" i="12"/>
  <c r="G68" i="12"/>
  <c r="G69" i="12"/>
  <c r="G70" i="12"/>
  <c r="G71" i="12"/>
  <c r="G72" i="12"/>
  <c r="G73" i="12"/>
  <c r="G74" i="12"/>
  <c r="G75" i="12"/>
  <c r="G76" i="12"/>
  <c r="G77" i="12"/>
  <c r="G78" i="12"/>
  <c r="G79" i="12"/>
  <c r="G80" i="12"/>
  <c r="G81" i="12"/>
  <c r="G82" i="12"/>
  <c r="G83" i="12"/>
  <c r="G84" i="12"/>
  <c r="G85" i="12"/>
  <c r="G86" i="12"/>
  <c r="G87" i="12"/>
  <c r="G88" i="12"/>
  <c r="G89" i="12"/>
  <c r="G90" i="12"/>
  <c r="G91" i="12"/>
  <c r="G92" i="12"/>
  <c r="G93" i="12"/>
  <c r="G94" i="12"/>
  <c r="G95" i="12"/>
  <c r="G96" i="12"/>
  <c r="G97" i="12"/>
  <c r="G98" i="12"/>
  <c r="G99" i="12"/>
  <c r="G100" i="12"/>
  <c r="G101" i="12"/>
  <c r="G102" i="12"/>
  <c r="G103" i="12"/>
  <c r="G104" i="12"/>
  <c r="G105" i="12"/>
  <c r="G106" i="12"/>
  <c r="G107" i="12"/>
  <c r="G108" i="12"/>
  <c r="G109" i="12"/>
  <c r="G110" i="12"/>
  <c r="G111" i="12"/>
  <c r="G112" i="12"/>
  <c r="G113" i="12"/>
  <c r="G114" i="12"/>
  <c r="G115" i="12"/>
  <c r="G116" i="12"/>
  <c r="G117" i="12"/>
  <c r="G118" i="12"/>
  <c r="G119" i="12"/>
  <c r="G120" i="12"/>
  <c r="G121" i="12"/>
  <c r="G122" i="12"/>
  <c r="G123" i="12"/>
  <c r="G124" i="12"/>
  <c r="G125" i="12"/>
  <c r="G126" i="12"/>
  <c r="G127" i="12"/>
  <c r="G128" i="12"/>
  <c r="G129" i="12"/>
  <c r="G130" i="12"/>
  <c r="G131" i="12"/>
  <c r="G132" i="12"/>
  <c r="G133" i="12"/>
  <c r="G134" i="12"/>
  <c r="G135" i="12"/>
  <c r="G136" i="12"/>
  <c r="G137" i="12"/>
  <c r="G138" i="12"/>
  <c r="G139" i="12"/>
  <c r="G140" i="12"/>
  <c r="G141" i="12"/>
  <c r="G142" i="12"/>
  <c r="G143" i="12"/>
  <c r="G144" i="12"/>
  <c r="G145" i="12"/>
  <c r="G146" i="12"/>
  <c r="G147" i="12"/>
  <c r="G148" i="12"/>
  <c r="G149" i="12"/>
  <c r="G150" i="12"/>
  <c r="G151" i="12"/>
  <c r="G152" i="12"/>
  <c r="G153" i="12"/>
  <c r="G154" i="12"/>
  <c r="G155" i="12"/>
  <c r="G156" i="12"/>
  <c r="G157" i="12"/>
  <c r="G158" i="12"/>
  <c r="G159" i="12"/>
  <c r="G160" i="12"/>
  <c r="G161" i="12"/>
  <c r="G162" i="12"/>
  <c r="G163" i="12"/>
  <c r="G164" i="12"/>
  <c r="G165" i="12"/>
  <c r="G166" i="12"/>
  <c r="G167" i="12"/>
  <c r="G168" i="12"/>
  <c r="G169" i="12"/>
  <c r="G170" i="12"/>
  <c r="G171" i="12"/>
  <c r="G172" i="12"/>
  <c r="G173" i="12"/>
  <c r="G174" i="12"/>
  <c r="G175" i="12"/>
  <c r="G176" i="12"/>
  <c r="G177" i="12"/>
  <c r="G178" i="12"/>
  <c r="G179" i="12"/>
  <c r="G180" i="12"/>
  <c r="G2" i="12"/>
  <c r="G2" i="11"/>
  <c r="G3" i="11"/>
  <c r="G4" i="11"/>
  <c r="G5" i="11"/>
  <c r="G6" i="11"/>
  <c r="G7" i="11"/>
  <c r="G8" i="11"/>
  <c r="G9" i="11"/>
  <c r="G10" i="11"/>
  <c r="G11" i="11"/>
  <c r="G12" i="11"/>
  <c r="G13" i="11"/>
  <c r="G14" i="11"/>
  <c r="G15" i="11"/>
  <c r="G16" i="11"/>
  <c r="G17" i="11"/>
  <c r="G18" i="11"/>
  <c r="G19" i="11"/>
  <c r="G20" i="11"/>
  <c r="G21" i="11"/>
  <c r="G22" i="11"/>
  <c r="G23" i="11"/>
  <c r="G24" i="11"/>
  <c r="G25" i="11"/>
  <c r="G26" i="11"/>
  <c r="G27" i="11"/>
  <c r="G28" i="11"/>
  <c r="G29" i="11"/>
  <c r="G30" i="11"/>
  <c r="G31" i="11"/>
  <c r="G32" i="11"/>
  <c r="G33" i="11"/>
  <c r="G34" i="11"/>
  <c r="G35" i="11"/>
  <c r="G36" i="11"/>
  <c r="G37" i="11"/>
  <c r="G38" i="11"/>
  <c r="G39" i="11"/>
  <c r="G40" i="11"/>
  <c r="G41" i="11"/>
  <c r="G42" i="11"/>
  <c r="G43" i="11"/>
  <c r="G44" i="11"/>
  <c r="G45" i="11"/>
  <c r="G46" i="11"/>
  <c r="G47" i="11"/>
  <c r="G48" i="11"/>
  <c r="G49" i="11"/>
  <c r="G50" i="11"/>
  <c r="G51" i="11"/>
  <c r="G52" i="11"/>
  <c r="G53" i="11"/>
  <c r="G54" i="11"/>
  <c r="G55" i="11"/>
  <c r="G56" i="11"/>
  <c r="G57" i="11"/>
  <c r="G58" i="11"/>
  <c r="G59" i="11"/>
  <c r="G60" i="11"/>
  <c r="G61" i="11"/>
  <c r="G62" i="11"/>
  <c r="G63" i="11"/>
  <c r="G64" i="11"/>
  <c r="G65" i="11"/>
  <c r="G66" i="11"/>
  <c r="G67" i="11"/>
  <c r="G68" i="11"/>
  <c r="G69" i="11"/>
  <c r="G70" i="11"/>
  <c r="G71" i="11"/>
  <c r="G72" i="11"/>
  <c r="G73" i="11"/>
  <c r="G74" i="11"/>
  <c r="G75" i="11"/>
  <c r="G76" i="11"/>
  <c r="G77" i="11"/>
  <c r="G78" i="11"/>
  <c r="G79" i="11"/>
  <c r="G80" i="11"/>
  <c r="G81" i="11"/>
  <c r="G82" i="11"/>
  <c r="G83" i="11"/>
  <c r="G84" i="11"/>
  <c r="G85" i="11"/>
  <c r="G86" i="11"/>
  <c r="G87" i="11"/>
  <c r="G88" i="11"/>
  <c r="G89" i="11"/>
  <c r="G90" i="11"/>
  <c r="G91" i="11"/>
  <c r="G92" i="11"/>
  <c r="G93" i="11"/>
  <c r="G94" i="11"/>
  <c r="G95" i="11"/>
  <c r="G96" i="11"/>
  <c r="G97" i="11"/>
  <c r="G98" i="11"/>
  <c r="G99" i="11"/>
  <c r="G100" i="11"/>
  <c r="G101" i="11"/>
  <c r="G102" i="11"/>
  <c r="G103" i="11"/>
  <c r="G104" i="11"/>
  <c r="G105" i="11"/>
  <c r="G106" i="11"/>
  <c r="G107" i="11"/>
  <c r="G108" i="11"/>
  <c r="G109" i="11"/>
  <c r="G110" i="11"/>
  <c r="G111" i="11"/>
  <c r="G112" i="11"/>
  <c r="G113" i="11"/>
  <c r="G114" i="11"/>
  <c r="G115" i="11"/>
  <c r="G116" i="11"/>
  <c r="G117" i="11"/>
  <c r="G118" i="11"/>
  <c r="G119" i="11"/>
  <c r="G120" i="11"/>
  <c r="G121" i="11"/>
  <c r="G122" i="11"/>
  <c r="G123" i="11"/>
  <c r="G124" i="11"/>
  <c r="G125" i="11"/>
  <c r="G126" i="11"/>
  <c r="G127" i="11"/>
  <c r="G128" i="11"/>
  <c r="G129" i="11"/>
  <c r="G130" i="11"/>
  <c r="G131" i="11"/>
  <c r="G132" i="11"/>
  <c r="G133" i="11"/>
  <c r="G134" i="11"/>
  <c r="G135" i="11"/>
  <c r="G136" i="11"/>
  <c r="G137" i="11"/>
  <c r="G138" i="11"/>
  <c r="G139" i="11"/>
  <c r="G140" i="11"/>
  <c r="G141" i="11"/>
  <c r="G142" i="11"/>
  <c r="G143" i="11"/>
  <c r="G144" i="11"/>
  <c r="G145" i="11"/>
  <c r="G146" i="11"/>
  <c r="G147" i="11"/>
  <c r="G148" i="11"/>
  <c r="G149" i="11"/>
  <c r="G150" i="11"/>
  <c r="G151" i="11"/>
  <c r="G152" i="11"/>
  <c r="G153" i="11"/>
  <c r="G154" i="11"/>
  <c r="G155" i="11"/>
  <c r="G156" i="11"/>
  <c r="G157" i="11"/>
  <c r="G158" i="11"/>
  <c r="G159" i="11"/>
  <c r="G160" i="11"/>
  <c r="G161" i="11"/>
  <c r="G162" i="11"/>
  <c r="G163" i="11"/>
  <c r="G164" i="11"/>
  <c r="G165" i="11"/>
  <c r="G166" i="11"/>
  <c r="G167" i="11"/>
  <c r="G168" i="11"/>
  <c r="G169" i="11"/>
  <c r="G170" i="11"/>
  <c r="G171" i="11"/>
  <c r="G172" i="11"/>
  <c r="G173" i="11"/>
  <c r="G174" i="11"/>
  <c r="G175" i="11"/>
  <c r="G176" i="11"/>
  <c r="G177" i="11"/>
  <c r="G178" i="11"/>
  <c r="G179" i="11"/>
  <c r="G180" i="11"/>
  <c r="G181" i="11"/>
  <c r="G182" i="11"/>
  <c r="G183" i="11"/>
  <c r="J2" i="11" l="1"/>
  <c r="J3" i="11" s="1"/>
  <c r="I2" i="11"/>
  <c r="I3" i="11" s="1"/>
  <c r="M2" i="11"/>
  <c r="M3" i="11" s="1"/>
  <c r="L3" i="12"/>
  <c r="K3" i="12"/>
  <c r="M3" i="12"/>
  <c r="J3" i="12"/>
  <c r="N3" i="12"/>
  <c r="K2" i="11"/>
  <c r="K3" i="11" s="1"/>
  <c r="L2" i="11"/>
  <c r="L3" i="11" s="1"/>
</calcChain>
</file>

<file path=xl/sharedStrings.xml><?xml version="1.0" encoding="utf-8"?>
<sst xmlns="http://schemas.openxmlformats.org/spreadsheetml/2006/main" count="1077" uniqueCount="325">
  <si>
    <t>Variables</t>
  </si>
  <si>
    <t>Tariff rate</t>
  </si>
  <si>
    <t>Trade-to-gdp ratio</t>
  </si>
  <si>
    <t>Political landscape</t>
  </si>
  <si>
    <t>Trade agreement participation</t>
  </si>
  <si>
    <t>Criteria</t>
  </si>
  <si>
    <t>Rates within 20th percentile -&gt; 5; Rates within 20th and 40th percentiles -&gt; 4; Rates between 40th and 60th percentiles -&gt; 3; Rates between 60th and 80th percentiles -&gt; 2; Rates between 80th and 100th percentiles -&gt; 1;</t>
  </si>
  <si>
    <t>Ratios within 20th percentile -&gt; 1; Ratios within 20th and 40th percentiles -&gt; 2; Ratios between 40th and 60th percentiles -&gt; 3; Ratios between 60th and 80th percentiles -&gt; 4; Ratios between 80th and 100th percentiles -&gt; 5;</t>
  </si>
  <si>
    <t>To evaluate the political landscape of a country, we use Global Governance Index as our criteria. Index within 20th percentile -&gt; 1; Index within 20th and 40th percentiles -&gt; 2; Index between 40th and 60th percentiles -&gt; 3; Index between 60th and 80th percentiles -&gt; 4</t>
  </si>
  <si>
    <t>Countries were grouped by their geophraphical regions. Countries that participate in most of the trade agreements within the region -&gt; 3; Participation in about half of the trade agreements within the region -&gt; 2; Participation in less than half of the trade agreements within the region -&gt; 1</t>
  </si>
  <si>
    <t>Weight</t>
  </si>
  <si>
    <t>Justification</t>
  </si>
  <si>
    <t>Since tariff rate is the major trade barrier, it would have the highest weight</t>
  </si>
  <si>
    <t>This ratio provides a braod indicator of a country's openness, but does not directly measure trade restrictions</t>
  </si>
  <si>
    <t>Governance quality may impact a country's trade openness. but it has a less direct impact the other three variables.</t>
  </si>
  <si>
    <t>Participations in trade agreements may lower tariffs. However, full implementation is not guaranteed, so this variable is impacts less directly than tariff rates do.</t>
  </si>
  <si>
    <t>Sources</t>
  </si>
  <si>
    <t>https://www.macrotrends.net/global-metrics/countries/ranking/tariff-rates</t>
  </si>
  <si>
    <t>https://www.macrotrends.net/global-metrics/countries/ranking/trade-gdp-ratio  https://www.oecd.org/content/dam/oecd/en/publications/reports/2011/09/oecd-science-technology-and-industry-scoreboard-2011_g1g191e0/sti_scoreboard-2011-en.pdf</t>
  </si>
  <si>
    <t>https://solability.com/the-global-sustainable-competitiveness-index/governance-capital</t>
  </si>
  <si>
    <t>https://www.wto.org/english/res_e/publications_e/wtr11_forum_e/wtr11_12july11_bis_e.htm?</t>
  </si>
  <si>
    <t xml:space="preserve">actual </t>
  </si>
  <si>
    <t>variable</t>
  </si>
  <si>
    <t xml:space="preserve">index </t>
  </si>
  <si>
    <t xml:space="preserve">value </t>
  </si>
  <si>
    <t xml:space="preserve">country </t>
  </si>
  <si>
    <t>tariff rate</t>
  </si>
  <si>
    <t>trade-to-GDP ratio</t>
  </si>
  <si>
    <t xml:space="preserve">political landscape </t>
  </si>
  <si>
    <t>trade agreement participation</t>
  </si>
  <si>
    <t xml:space="preserve">final ranking </t>
  </si>
  <si>
    <t>Anguilla</t>
  </si>
  <si>
    <t>Aruba</t>
  </si>
  <si>
    <t>Bahamas</t>
  </si>
  <si>
    <t>Barbados</t>
  </si>
  <si>
    <t>Belize</t>
  </si>
  <si>
    <t>Bermuda</t>
  </si>
  <si>
    <t>British Virgin Islands</t>
  </si>
  <si>
    <t>Cayman Islands</t>
  </si>
  <si>
    <t>Costa Rica</t>
  </si>
  <si>
    <t>Cuba</t>
  </si>
  <si>
    <t>Curacao</t>
  </si>
  <si>
    <t>Dominica</t>
  </si>
  <si>
    <t>Dominican Republic</t>
  </si>
  <si>
    <t>El Salvador</t>
  </si>
  <si>
    <t>Grenada</t>
  </si>
  <si>
    <t>Guatemala</t>
  </si>
  <si>
    <t>Haiti</t>
  </si>
  <si>
    <t>Honduras</t>
  </si>
  <si>
    <t>Jamaica</t>
  </si>
  <si>
    <t>Trinidad and Tobago</t>
  </si>
  <si>
    <t>United States of America</t>
  </si>
  <si>
    <t>Argentina</t>
  </si>
  <si>
    <t>Bolivia</t>
  </si>
  <si>
    <t>Brazil</t>
  </si>
  <si>
    <t>Chile</t>
  </si>
  <si>
    <t>Colombia</t>
  </si>
  <si>
    <t>Ecuador</t>
  </si>
  <si>
    <t>Guyana</t>
  </si>
  <si>
    <t>Mexico</t>
  </si>
  <si>
    <t>Montserrat</t>
  </si>
  <si>
    <t>Nicaragua</t>
  </si>
  <si>
    <t>Panama</t>
  </si>
  <si>
    <t>Paraguay</t>
  </si>
  <si>
    <t>Peru</t>
  </si>
  <si>
    <t>Saint Vincent and the Grenadines</t>
  </si>
  <si>
    <t>Sint Maarten</t>
  </si>
  <si>
    <t>St. Kitts &amp; Nevis</t>
  </si>
  <si>
    <t>St. Lucia</t>
  </si>
  <si>
    <t>Suriname</t>
  </si>
  <si>
    <t>Venezuela</t>
  </si>
  <si>
    <t>Uruguay</t>
  </si>
  <si>
    <t>Belgium</t>
  </si>
  <si>
    <t>Bulgaria</t>
  </si>
  <si>
    <t>China</t>
  </si>
  <si>
    <t>Denmark</t>
  </si>
  <si>
    <t>Finland</t>
  </si>
  <si>
    <t>France</t>
  </si>
  <si>
    <t>Germany</t>
  </si>
  <si>
    <t>India</t>
  </si>
  <si>
    <t>Indonesia</t>
  </si>
  <si>
    <t>Israel</t>
  </si>
  <si>
    <t>Italy</t>
  </si>
  <si>
    <t>Korea, Republic of</t>
  </si>
  <si>
    <t>Netherlands</t>
  </si>
  <si>
    <t>Qatar</t>
  </si>
  <si>
    <t>Sweden</t>
  </si>
  <si>
    <t>Switzerland</t>
  </si>
  <si>
    <t>Turks and Caicos</t>
  </si>
  <si>
    <t>United Arab Emirates</t>
  </si>
  <si>
    <t>United Kingdom</t>
  </si>
  <si>
    <t xml:space="preserve">Antigua and Barbuda </t>
  </si>
  <si>
    <t xml:space="preserve">weighting </t>
  </si>
  <si>
    <t>variable justification</t>
  </si>
  <si>
    <t>index</t>
  </si>
  <si>
    <t xml:space="preserve">variable </t>
  </si>
  <si>
    <t>final ranking</t>
  </si>
  <si>
    <t>actual</t>
  </si>
  <si>
    <t>country groupings</t>
  </si>
  <si>
    <t xml:space="preserve">group 1: north america and the carribiean </t>
  </si>
  <si>
    <t xml:space="preserve">group 2: south and parts of central america </t>
  </si>
  <si>
    <t xml:space="preserve">group 3: europe, asia, middle east </t>
  </si>
  <si>
    <t>Country Name</t>
  </si>
  <si>
    <t>AVG</t>
  </si>
  <si>
    <t xml:space="preserve">20th percentile </t>
  </si>
  <si>
    <t xml:space="preserve">40th percentile </t>
  </si>
  <si>
    <t xml:space="preserve">60th percentile </t>
  </si>
  <si>
    <t xml:space="preserve">80th percentile </t>
  </si>
  <si>
    <t xml:space="preserve">100th percentile </t>
  </si>
  <si>
    <t>Luxembourg</t>
  </si>
  <si>
    <t>Hong Kong</t>
  </si>
  <si>
    <t>Djibouti</t>
  </si>
  <si>
    <t>Malta</t>
  </si>
  <si>
    <t>Singapore</t>
  </si>
  <si>
    <t>Ireland</t>
  </si>
  <si>
    <t>between</t>
  </si>
  <si>
    <t>0-45</t>
  </si>
  <si>
    <t>45-64</t>
  </si>
  <si>
    <t>64-83</t>
  </si>
  <si>
    <t>83-109</t>
  </si>
  <si>
    <t>109-386</t>
  </si>
  <si>
    <t>Seychelles</t>
  </si>
  <si>
    <t>Slovak Republic</t>
  </si>
  <si>
    <t>Cyprus</t>
  </si>
  <si>
    <t>Slovenia</t>
  </si>
  <si>
    <t>North Macedonia</t>
  </si>
  <si>
    <t>Hungary</t>
  </si>
  <si>
    <t>Estonia</t>
  </si>
  <si>
    <t>Lithuania</t>
  </si>
  <si>
    <t>Mongolia</t>
  </si>
  <si>
    <t>Macao</t>
  </si>
  <si>
    <t>Czech Republic</t>
  </si>
  <si>
    <t>Brunei</t>
  </si>
  <si>
    <t>Belarus</t>
  </si>
  <si>
    <t>Latvia</t>
  </si>
  <si>
    <t>Malaysia</t>
  </si>
  <si>
    <t>Thailand</t>
  </si>
  <si>
    <t>Serbia</t>
  </si>
  <si>
    <t>Fiji</t>
  </si>
  <si>
    <t>Montenegro</t>
  </si>
  <si>
    <t>Armenia</t>
  </si>
  <si>
    <t>Austria</t>
  </si>
  <si>
    <t>Cambodia</t>
  </si>
  <si>
    <t>Kosovo</t>
  </si>
  <si>
    <t>Libya</t>
  </si>
  <si>
    <t>Croatia</t>
  </si>
  <si>
    <t>Namibia</t>
  </si>
  <si>
    <t>Poland</t>
  </si>
  <si>
    <t>Tunisia</t>
  </si>
  <si>
    <t>Mauritius</t>
  </si>
  <si>
    <t>Sierra Leone</t>
  </si>
  <si>
    <t>Georgia</t>
  </si>
  <si>
    <t>Puerto Rico</t>
  </si>
  <si>
    <t>Bosnia</t>
  </si>
  <si>
    <t>Kiribati</t>
  </si>
  <si>
    <t>Mauritania</t>
  </si>
  <si>
    <t>Republic Of Congo</t>
  </si>
  <si>
    <t>Morocco</t>
  </si>
  <si>
    <t>Moldova</t>
  </si>
  <si>
    <t>Micronesia</t>
  </si>
  <si>
    <t>Greece</t>
  </si>
  <si>
    <t>Somalia</t>
  </si>
  <si>
    <t>Portugal</t>
  </si>
  <si>
    <t>Cabo Verde</t>
  </si>
  <si>
    <t>Chad</t>
  </si>
  <si>
    <t>Democratic Republic Of Congo</t>
  </si>
  <si>
    <t>Samoa</t>
  </si>
  <si>
    <t>South Korea</t>
  </si>
  <si>
    <t>Equatorial Guinea</t>
  </si>
  <si>
    <t>Iceland</t>
  </si>
  <si>
    <t>West Bank And Gaza</t>
  </si>
  <si>
    <t>Albania</t>
  </si>
  <si>
    <t>Azerbaijan</t>
  </si>
  <si>
    <t>Romania</t>
  </si>
  <si>
    <t>Zambia</t>
  </si>
  <si>
    <t>Norway</t>
  </si>
  <si>
    <t>Ukraine</t>
  </si>
  <si>
    <t>Gabon</t>
  </si>
  <si>
    <t>Spain</t>
  </si>
  <si>
    <t>Uzbekistan</t>
  </si>
  <si>
    <t>Madagascar</t>
  </si>
  <si>
    <t>Senegal</t>
  </si>
  <si>
    <t>Ghana</t>
  </si>
  <si>
    <t>Guinea</t>
  </si>
  <si>
    <t>Canada</t>
  </si>
  <si>
    <t>Philippines</t>
  </si>
  <si>
    <t>Botswana</t>
  </si>
  <si>
    <t>Turkey</t>
  </si>
  <si>
    <t>Angola</t>
  </si>
  <si>
    <t>Rwanda</t>
  </si>
  <si>
    <t>Mali</t>
  </si>
  <si>
    <t>South Africa</t>
  </si>
  <si>
    <t>Burkina Faso</t>
  </si>
  <si>
    <t>Saudi Arabia</t>
  </si>
  <si>
    <t>Togo</t>
  </si>
  <si>
    <t>Iran</t>
  </si>
  <si>
    <t>Benin</t>
  </si>
  <si>
    <t>Australia</t>
  </si>
  <si>
    <t>Comoros</t>
  </si>
  <si>
    <t>Algeria</t>
  </si>
  <si>
    <t>Guinea-Bissau</t>
  </si>
  <si>
    <t>Central African Republic</t>
  </si>
  <si>
    <t>Sri Lanka</t>
  </si>
  <si>
    <t>Russia</t>
  </si>
  <si>
    <t>Nepal</t>
  </si>
  <si>
    <t>Gambia</t>
  </si>
  <si>
    <t>Egypt</t>
  </si>
  <si>
    <t>Cameroon</t>
  </si>
  <si>
    <t>Tanzania</t>
  </si>
  <si>
    <t>Uganda</t>
  </si>
  <si>
    <t>Turkmenistan</t>
  </si>
  <si>
    <t>Kenya</t>
  </si>
  <si>
    <t>Bangladesh</t>
  </si>
  <si>
    <t>Niger</t>
  </si>
  <si>
    <t>Burundi</t>
  </si>
  <si>
    <t>Pakistan</t>
  </si>
  <si>
    <t>Ethiopia</t>
  </si>
  <si>
    <t>Sudan</t>
  </si>
  <si>
    <t>Palau</t>
  </si>
  <si>
    <t>Syrian Arab Republic</t>
  </si>
  <si>
    <t>Kyrgyz Republic</t>
  </si>
  <si>
    <t>Northern Mariana Islands</t>
  </si>
  <si>
    <t>Guam</t>
  </si>
  <si>
    <t>Virgin Islands (U.S.)</t>
  </si>
  <si>
    <t>Mozambique</t>
  </si>
  <si>
    <t>UAE</t>
  </si>
  <si>
    <t>Vietnam</t>
  </si>
  <si>
    <t>Iraq</t>
  </si>
  <si>
    <t>Lesotho</t>
  </si>
  <si>
    <t>Vanuatu</t>
  </si>
  <si>
    <t>Nauru</t>
  </si>
  <si>
    <t>Marshall Islands</t>
  </si>
  <si>
    <t>Bhutan</t>
  </si>
  <si>
    <t>American Samoa</t>
  </si>
  <si>
    <t>New Zealand</t>
  </si>
  <si>
    <t>Bahrain</t>
  </si>
  <si>
    <t>Tajikistan</t>
  </si>
  <si>
    <t>Kuwait</t>
  </si>
  <si>
    <t>Antigua And Barbuda</t>
  </si>
  <si>
    <t>Oman</t>
  </si>
  <si>
    <t>Solomon Islands</t>
  </si>
  <si>
    <t>United States</t>
  </si>
  <si>
    <t>Faroe Islands</t>
  </si>
  <si>
    <t>Jordan</t>
  </si>
  <si>
    <t>Timor-Leste</t>
  </si>
  <si>
    <t>Lebanon</t>
  </si>
  <si>
    <t>Eswatini</t>
  </si>
  <si>
    <t>Japan</t>
  </si>
  <si>
    <t>French Polynesia</t>
  </si>
  <si>
    <t>Tonga</t>
  </si>
  <si>
    <t>Afghanistan</t>
  </si>
  <si>
    <t>Zimbabwe</t>
  </si>
  <si>
    <t>Kazakhstan</t>
  </si>
  <si>
    <t>Greenland</t>
  </si>
  <si>
    <t>San Marino</t>
  </si>
  <si>
    <t xml:space="preserve">0th percentile </t>
  </si>
  <si>
    <t xml:space="preserve">60th eprcentile </t>
  </si>
  <si>
    <t xml:space="preserve">between </t>
  </si>
  <si>
    <t>3.5-42.852</t>
  </si>
  <si>
    <t>42.852-55.844</t>
  </si>
  <si>
    <t>55.844-71.538</t>
  </si>
  <si>
    <t>71.538-99.072</t>
  </si>
  <si>
    <t>99.072-293.19</t>
  </si>
  <si>
    <t>NA</t>
  </si>
  <si>
    <t>avg</t>
  </si>
  <si>
    <t>40th percentile</t>
  </si>
  <si>
    <t>100th percentile</t>
  </si>
  <si>
    <t xml:space="preserve">corresponding variable </t>
  </si>
  <si>
    <t>0-1.7</t>
  </si>
  <si>
    <t>1.7-2.03</t>
  </si>
  <si>
    <t>2.03-3.84</t>
  </si>
  <si>
    <t>3.84-6.81</t>
  </si>
  <si>
    <t>6.81-40.36</t>
  </si>
  <si>
    <t>Nigeria</t>
  </si>
  <si>
    <t>Maldives</t>
  </si>
  <si>
    <t>St. Vincent And The Grenadines</t>
  </si>
  <si>
    <t>Trinidad And Tobago</t>
  </si>
  <si>
    <t>Liberia</t>
  </si>
  <si>
    <t>Malawi</t>
  </si>
  <si>
    <t>Papua New Guinea</t>
  </si>
  <si>
    <t>Lao PDR</t>
  </si>
  <si>
    <t>Myanmar</t>
  </si>
  <si>
    <t>Tuvalu</t>
  </si>
  <si>
    <t>Sao Tome And Principe</t>
  </si>
  <si>
    <t>St. Kitts And Nevis</t>
  </si>
  <si>
    <t>Yemen</t>
  </si>
  <si>
    <t>1.7-1.9796</t>
  </si>
  <si>
    <t>1.9796-3.522</t>
  </si>
  <si>
    <t>3.522-5.5756</t>
  </si>
  <si>
    <t>5.5756-39.9</t>
  </si>
  <si>
    <t>20th percentile</t>
  </si>
  <si>
    <t>60th percentile</t>
  </si>
  <si>
    <t>80th percentile</t>
  </si>
  <si>
    <t>Andorra</t>
  </si>
  <si>
    <t>0-38</t>
  </si>
  <si>
    <t>38-45.85</t>
  </si>
  <si>
    <t>45.86-50.75</t>
  </si>
  <si>
    <t>50.76-57.14</t>
  </si>
  <si>
    <t>Antigua and Barbuda</t>
  </si>
  <si>
    <t>higher # = more stable</t>
  </si>
  <si>
    <t>Bosnia and Herzegovina</t>
  </si>
  <si>
    <t>Brunei Darussalam</t>
  </si>
  <si>
    <t>Congo</t>
  </si>
  <si>
    <t>Congo DR</t>
  </si>
  <si>
    <t>Côte d'Ivoire</t>
  </si>
  <si>
    <t>Czechia</t>
  </si>
  <si>
    <t>Eritrea</t>
  </si>
  <si>
    <t>Korea</t>
  </si>
  <si>
    <t>Kyrgyzstan</t>
  </si>
  <si>
    <t>Lao</t>
  </si>
  <si>
    <t>Liechtenstein</t>
  </si>
  <si>
    <t>Palestine, State of</t>
  </si>
  <si>
    <t>Russian Federation</t>
  </si>
  <si>
    <t>Saint Kitts and Nevis</t>
  </si>
  <si>
    <t>Saint Lucia</t>
  </si>
  <si>
    <t>Sao Tome and Principe</t>
  </si>
  <si>
    <t>Slovakia</t>
  </si>
  <si>
    <t>South Sudan</t>
  </si>
  <si>
    <t>Viet Nam</t>
  </si>
  <si>
    <t xml:space="preserve">80th percentiel </t>
  </si>
  <si>
    <t>29.34-47.6</t>
  </si>
  <si>
    <t>47.6-51.398</t>
  </si>
  <si>
    <t>51.398-55.182</t>
  </si>
  <si>
    <t>55.182-66.018</t>
  </si>
  <si>
    <t>66.018-71.91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</si>
</sst>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%"/>
  </numFmts>
  <fonts count="1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0"/>
      <color rgb="FF444444"/>
      <name val="Arial"/>
      <family val="2"/>
    </font>
    <font>
      <sz val="10"/>
      <color rgb="FF444444"/>
      <name val="Arial"/>
      <family val="2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11"/>
      <color rgb="FF000000"/>
      <name val="Aptos Narrow"/>
      <family val="2"/>
    </font>
    <font>
      <sz val="11"/>
      <color rgb="FF242424"/>
      <name val="Aptos Narrow"/>
      <family val="2"/>
    </font>
    <font>
      <sz val="11"/>
      <color rgb="FF000000"/>
      <name val="Aptos Narrow"/>
      <scheme val="minor"/>
    </font>
    <font>
      <sz val="11"/>
      <color rgb="FF242424"/>
      <name val="Aptos Narrow"/>
    </font>
  </fonts>
  <fills count="9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F9F9F9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48">
    <xf numFmtId="0" fontId="0" fillId="0" borderId="0" xfId="0"/>
    <xf numFmtId="0" fontId="0" fillId="0" borderId="0" xfId="0" applyAlignment="1">
      <alignment horizontal="left"/>
    </xf>
    <xf numFmtId="0" fontId="0" fillId="2" borderId="0" xfId="0" applyFill="1"/>
    <xf numFmtId="0" fontId="0" fillId="0" borderId="0" xfId="0" applyAlignment="1">
      <alignment horizontal="center"/>
    </xf>
    <xf numFmtId="0" fontId="2" fillId="3" borderId="1" xfId="2" applyFill="1" applyBorder="1" applyAlignment="1">
      <alignment horizontal="left" vertical="top" wrapText="1"/>
    </xf>
    <xf numFmtId="10" fontId="0" fillId="0" borderId="0" xfId="0" applyNumberFormat="1"/>
    <xf numFmtId="10" fontId="4" fillId="3" borderId="1" xfId="0" applyNumberFormat="1" applyFont="1" applyFill="1" applyBorder="1" applyAlignment="1">
      <alignment horizontal="right" vertical="top" wrapText="1"/>
    </xf>
    <xf numFmtId="0" fontId="2" fillId="0" borderId="1" xfId="2" applyBorder="1" applyAlignment="1">
      <alignment horizontal="left" vertical="top" wrapText="1"/>
    </xf>
    <xf numFmtId="10" fontId="4" fillId="0" borderId="1" xfId="0" applyNumberFormat="1" applyFont="1" applyBorder="1" applyAlignment="1">
      <alignment horizontal="right" vertical="top" wrapText="1"/>
    </xf>
    <xf numFmtId="0" fontId="3" fillId="0" borderId="1" xfId="0" applyFont="1" applyBorder="1" applyAlignment="1">
      <alignment horizontal="left" wrapText="1"/>
    </xf>
    <xf numFmtId="0" fontId="3" fillId="0" borderId="1" xfId="0" applyFont="1" applyBorder="1" applyAlignment="1">
      <alignment horizontal="center" wrapText="1"/>
    </xf>
    <xf numFmtId="0" fontId="2" fillId="4" borderId="1" xfId="2" applyFill="1" applyBorder="1" applyAlignment="1">
      <alignment horizontal="left" vertical="top" wrapText="1"/>
    </xf>
    <xf numFmtId="10" fontId="4" fillId="4" borderId="1" xfId="0" applyNumberFormat="1" applyFont="1" applyFill="1" applyBorder="1" applyAlignment="1">
      <alignment horizontal="right" vertical="top" wrapText="1"/>
    </xf>
    <xf numFmtId="164" fontId="0" fillId="0" borderId="0" xfId="0" applyNumberFormat="1"/>
    <xf numFmtId="2" fontId="0" fillId="0" borderId="0" xfId="0" applyNumberFormat="1"/>
    <xf numFmtId="0" fontId="4" fillId="3" borderId="0" xfId="1" applyNumberFormat="1" applyFont="1" applyFill="1" applyBorder="1" applyAlignment="1">
      <alignment horizontal="right" vertical="top" wrapText="1"/>
    </xf>
    <xf numFmtId="0" fontId="4" fillId="3" borderId="0" xfId="0" applyFont="1" applyFill="1" applyAlignment="1">
      <alignment horizontal="right" vertical="top" wrapText="1"/>
    </xf>
    <xf numFmtId="0" fontId="0" fillId="5" borderId="0" xfId="0" applyFill="1"/>
    <xf numFmtId="9" fontId="0" fillId="5" borderId="0" xfId="1" applyFont="1" applyFill="1"/>
    <xf numFmtId="0" fontId="0" fillId="0" borderId="0" xfId="0" applyAlignment="1">
      <alignment wrapText="1"/>
    </xf>
    <xf numFmtId="10" fontId="0" fillId="0" borderId="0" xfId="0" applyNumberFormat="1" applyAlignment="1">
      <alignment horizontal="center"/>
    </xf>
    <xf numFmtId="10" fontId="0" fillId="0" borderId="0" xfId="0" applyNumberFormat="1" applyAlignment="1">
      <alignment horizontal="left"/>
    </xf>
    <xf numFmtId="10" fontId="0" fillId="0" borderId="0" xfId="0" applyNumberFormat="1" applyAlignment="1">
      <alignment horizontal="left" wrapText="1"/>
    </xf>
    <xf numFmtId="0" fontId="5" fillId="0" borderId="2" xfId="0" applyFont="1" applyBorder="1" applyAlignment="1">
      <alignment wrapText="1"/>
    </xf>
    <xf numFmtId="0" fontId="6" fillId="0" borderId="2" xfId="0" applyFont="1" applyBorder="1" applyAlignment="1">
      <alignment wrapText="1"/>
    </xf>
    <xf numFmtId="0" fontId="5" fillId="0" borderId="2" xfId="0" applyFont="1" applyBorder="1" applyAlignment="1">
      <alignment horizontal="right" wrapText="1"/>
    </xf>
    <xf numFmtId="0" fontId="0" fillId="0" borderId="0" xfId="0" applyAlignment="1">
      <alignment horizontal="right"/>
    </xf>
    <xf numFmtId="10" fontId="7" fillId="0" borderId="0" xfId="0" applyNumberFormat="1" applyFont="1" applyAlignment="1">
      <alignment horizontal="left"/>
    </xf>
    <xf numFmtId="0" fontId="8" fillId="0" borderId="0" xfId="0" applyFont="1" applyAlignment="1">
      <alignment wrapText="1"/>
    </xf>
    <xf numFmtId="0" fontId="0" fillId="6" borderId="0" xfId="0" applyFill="1"/>
    <xf numFmtId="0" fontId="0" fillId="5" borderId="0" xfId="1" applyNumberFormat="1" applyFont="1" applyFill="1"/>
    <xf numFmtId="0" fontId="0" fillId="0" borderId="0" xfId="0" applyAlignment="1">
      <alignment horizontal="left" wrapText="1"/>
    </xf>
    <xf numFmtId="0" fontId="7" fillId="0" borderId="0" xfId="0" applyFont="1" applyAlignment="1">
      <alignment horizontal="left"/>
    </xf>
    <xf numFmtId="0" fontId="2" fillId="0" borderId="0" xfId="2" applyAlignment="1"/>
    <xf numFmtId="0" fontId="9" fillId="0" borderId="0" xfId="2" applyFont="1" applyAlignment="1">
      <alignment horizontal="left"/>
    </xf>
    <xf numFmtId="0" fontId="0" fillId="0" borderId="0" xfId="1" applyNumberFormat="1" applyFont="1" applyFill="1"/>
    <xf numFmtId="0" fontId="10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9" fillId="0" borderId="0" xfId="2" applyFont="1" applyAlignment="1">
      <alignment horizontal="left" vertical="top" wrapText="1"/>
    </xf>
    <xf numFmtId="0" fontId="2" fillId="0" borderId="0" xfId="2" applyAlignment="1">
      <alignment vertical="top" wrapText="1"/>
    </xf>
    <xf numFmtId="0" fontId="0" fillId="7" borderId="0" xfId="0" applyFill="1" applyAlignment="1">
      <alignment horizontal="center"/>
    </xf>
    <xf numFmtId="0" fontId="0" fillId="8" borderId="0" xfId="0" applyFill="1" applyAlignment="1">
      <alignment horizontal="center" vertical="center"/>
    </xf>
    <xf numFmtId="0" fontId="0" fillId="2" borderId="4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center"/>
    </xf>
    <xf numFmtId="10" fontId="0" fillId="0" borderId="0" xfId="0" applyNumberFormat="1" applyAlignment="1">
      <alignment horizontal="center"/>
    </xf>
  </cellXfs>
  <cellStyles count="3">
    <cellStyle name="Hyperlink" xfId="2" builtinId="8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microsoft.com/office/2017/10/relationships/person" Target="persons/person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solability.com/the-global-sustainable-competitiveness-index/governance-capital" TargetMode="External"/><Relationship Id="rId2" Type="http://schemas.openxmlformats.org/officeDocument/2006/relationships/hyperlink" Target="https://www.wto.org/english/res_e/publications_e/wtr11_forum_e/wtr11_12july11_bis_e.htm" TargetMode="External"/><Relationship Id="rId1" Type="http://schemas.openxmlformats.org/officeDocument/2006/relationships/hyperlink" Target="https://www.macrotrends.net/global-metrics/countries/ranking/tariff-rates" TargetMode="External"/><Relationship Id="rId4" Type="http://schemas.openxmlformats.org/officeDocument/2006/relationships/hyperlink" Target="https://www.macrotrends.net/global-metrics/countries/ranking/trade-gdp-ratio%20%20https:/www.oecd.org/content/dam/oecd/en/publications/reports/2011/09/oecd-science-technology-and-industry-scoreboard-2011_g1g191e0/sti_scoreboard-2011-en.pdf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macrotrends.net/global-metrics/countries/RUS/russia/trade-gdp-ratio" TargetMode="External"/><Relationship Id="rId21" Type="http://schemas.openxmlformats.org/officeDocument/2006/relationships/hyperlink" Target="https://www.macrotrends.net/global-metrics/countries/BRN/brunei/trade-gdp-ratio" TargetMode="External"/><Relationship Id="rId42" Type="http://schemas.openxmlformats.org/officeDocument/2006/relationships/hyperlink" Target="https://www.macrotrends.net/global-metrics/countries/BLZ/belize/trade-gdp-ratio" TargetMode="External"/><Relationship Id="rId63" Type="http://schemas.openxmlformats.org/officeDocument/2006/relationships/hyperlink" Target="https://www.macrotrends.net/global-metrics/countries/KOR/south-korea/trade-gdp-ratio" TargetMode="External"/><Relationship Id="rId84" Type="http://schemas.openxmlformats.org/officeDocument/2006/relationships/hyperlink" Target="https://www.macrotrends.net/global-metrics/countries/GHA/ghana/trade-gdp-ratio" TargetMode="External"/><Relationship Id="rId138" Type="http://schemas.openxmlformats.org/officeDocument/2006/relationships/hyperlink" Target="https://www.macrotrends.net/global-metrics/countries/CYM/cayman-islands/trade-gdp-ratio" TargetMode="External"/><Relationship Id="rId159" Type="http://schemas.openxmlformats.org/officeDocument/2006/relationships/hyperlink" Target="https://www.macrotrends.net/global-metrics/countries/KWT/kuwait/trade-gdp-ratio" TargetMode="External"/><Relationship Id="rId170" Type="http://schemas.openxmlformats.org/officeDocument/2006/relationships/hyperlink" Target="https://www.macrotrends.net/global-metrics/countries/PAN/panama/trade-gdp-ratio" TargetMode="External"/><Relationship Id="rId107" Type="http://schemas.openxmlformats.org/officeDocument/2006/relationships/hyperlink" Target="https://www.macrotrends.net/global-metrics/countries/PER/peru/trade-gdp-ratio" TargetMode="External"/><Relationship Id="rId11" Type="http://schemas.openxmlformats.org/officeDocument/2006/relationships/hyperlink" Target="https://www.macrotrends.net/global-metrics/countries/SVN/slovenia/trade-gdp-ratio" TargetMode="External"/><Relationship Id="rId32" Type="http://schemas.openxmlformats.org/officeDocument/2006/relationships/hyperlink" Target="https://www.macrotrends.net/global-metrics/countries/AUT/austria/trade-gdp-ratio" TargetMode="External"/><Relationship Id="rId53" Type="http://schemas.openxmlformats.org/officeDocument/2006/relationships/hyperlink" Target="https://www.macrotrends.net/global-metrics/countries/MDA/moldova/trade-gdp-ratio" TargetMode="External"/><Relationship Id="rId74" Type="http://schemas.openxmlformats.org/officeDocument/2006/relationships/hyperlink" Target="https://www.macrotrends.net/global-metrics/countries/ZMB/zambia/trade-gdp-ratio" TargetMode="External"/><Relationship Id="rId128" Type="http://schemas.openxmlformats.org/officeDocument/2006/relationships/hyperlink" Target="https://www.macrotrends.net/global-metrics/countries/BRA/brazil/trade-gdp-ratio" TargetMode="External"/><Relationship Id="rId149" Type="http://schemas.openxmlformats.org/officeDocument/2006/relationships/hyperlink" Target="https://www.macrotrends.net/global-metrics/countries/BRB/barbados/trade-gdp-ratio" TargetMode="External"/><Relationship Id="rId5" Type="http://schemas.openxmlformats.org/officeDocument/2006/relationships/hyperlink" Target="https://www.macrotrends.net/global-metrics/countries/SGP/singapore/trade-gdp-ratio" TargetMode="External"/><Relationship Id="rId95" Type="http://schemas.openxmlformats.org/officeDocument/2006/relationships/hyperlink" Target="https://www.macrotrends.net/global-metrics/countries/ZAF/south-africa/trade-gdp-ratio" TargetMode="External"/><Relationship Id="rId160" Type="http://schemas.openxmlformats.org/officeDocument/2006/relationships/hyperlink" Target="https://www.macrotrends.net/global-metrics/countries/ATG/antigua-and-barbuda/trade-gdp-ratio" TargetMode="External"/><Relationship Id="rId181" Type="http://schemas.openxmlformats.org/officeDocument/2006/relationships/hyperlink" Target="https://www.macrotrends.net/global-metrics/countries/SMR/san-marino/trade-gdp-ratio" TargetMode="External"/><Relationship Id="rId22" Type="http://schemas.openxmlformats.org/officeDocument/2006/relationships/hyperlink" Target="https://www.macrotrends.net/global-metrics/countries/BLR/belarus/trade-gdp-ratio" TargetMode="External"/><Relationship Id="rId43" Type="http://schemas.openxmlformats.org/officeDocument/2006/relationships/hyperlink" Target="https://www.macrotrends.net/global-metrics/countries/GEO/georgia/trade-gdp-ratio" TargetMode="External"/><Relationship Id="rId64" Type="http://schemas.openxmlformats.org/officeDocument/2006/relationships/hyperlink" Target="https://www.macrotrends.net/global-metrics/countries/GNQ/equatorial-guinea/trade-gdp-ratio" TargetMode="External"/><Relationship Id="rId118" Type="http://schemas.openxmlformats.org/officeDocument/2006/relationships/hyperlink" Target="https://www.macrotrends.net/global-metrics/countries/NPL/nepal/trade-gdp-ratio" TargetMode="External"/><Relationship Id="rId139" Type="http://schemas.openxmlformats.org/officeDocument/2006/relationships/hyperlink" Target="https://www.macrotrends.net/global-metrics/countries/PLW/palau/trade-gdp-ratio" TargetMode="External"/><Relationship Id="rId85" Type="http://schemas.openxmlformats.org/officeDocument/2006/relationships/hyperlink" Target="https://www.macrotrends.net/global-metrics/countries/GIN/guinea/trade-gdp-ratio" TargetMode="External"/><Relationship Id="rId150" Type="http://schemas.openxmlformats.org/officeDocument/2006/relationships/hyperlink" Target="https://www.macrotrends.net/global-metrics/countries/LSO/lesotho/trade-gdp-ratio" TargetMode="External"/><Relationship Id="rId171" Type="http://schemas.openxmlformats.org/officeDocument/2006/relationships/hyperlink" Target="https://www.macrotrends.net/global-metrics/countries/SWZ/eswatini/trade-gdp-ratio" TargetMode="External"/><Relationship Id="rId12" Type="http://schemas.openxmlformats.org/officeDocument/2006/relationships/hyperlink" Target="https://www.macrotrends.net/global-metrics/countries/MKD/north-macedonia/trade-gdp-ratio" TargetMode="External"/><Relationship Id="rId33" Type="http://schemas.openxmlformats.org/officeDocument/2006/relationships/hyperlink" Target="https://www.macrotrends.net/global-metrics/countries/KHM/cambodia/trade-gdp-ratio" TargetMode="External"/><Relationship Id="rId108" Type="http://schemas.openxmlformats.org/officeDocument/2006/relationships/hyperlink" Target="https://www.macrotrends.net/global-metrics/countries/GTM/guatemala/trade-gdp-ratio" TargetMode="External"/><Relationship Id="rId129" Type="http://schemas.openxmlformats.org/officeDocument/2006/relationships/hyperlink" Target="https://www.macrotrends.net/global-metrics/countries/KEN/kenya/trade-gdp-ratio" TargetMode="External"/><Relationship Id="rId54" Type="http://schemas.openxmlformats.org/officeDocument/2006/relationships/hyperlink" Target="https://www.macrotrends.net/global-metrics/countries/FSM/micronesia/trade-gdp-ratio" TargetMode="External"/><Relationship Id="rId75" Type="http://schemas.openxmlformats.org/officeDocument/2006/relationships/hyperlink" Target="https://www.macrotrends.net/global-metrics/countries/NOR/norway/trade-gdp-ratio" TargetMode="External"/><Relationship Id="rId96" Type="http://schemas.openxmlformats.org/officeDocument/2006/relationships/hyperlink" Target="https://www.macrotrends.net/global-metrics/countries/GBR/united-kingdom/trade-gdp-ratio" TargetMode="External"/><Relationship Id="rId140" Type="http://schemas.openxmlformats.org/officeDocument/2006/relationships/hyperlink" Target="https://www.macrotrends.net/global-metrics/countries/SYR/syrian-arab-republic/trade-gdp-ratio" TargetMode="External"/><Relationship Id="rId161" Type="http://schemas.openxmlformats.org/officeDocument/2006/relationships/hyperlink" Target="https://www.macrotrends.net/global-metrics/countries/OMN/oman/trade-gdp-ratio" TargetMode="External"/><Relationship Id="rId182" Type="http://schemas.openxmlformats.org/officeDocument/2006/relationships/hyperlink" Target="https://www.macrotrends.net/global-metrics/countries/BMU/bermuda/trade-gdp-ratio" TargetMode="External"/><Relationship Id="rId6" Type="http://schemas.openxmlformats.org/officeDocument/2006/relationships/hyperlink" Target="https://www.macrotrends.net/global-metrics/countries/IRL/ireland/trade-gdp-ratio" TargetMode="External"/><Relationship Id="rId23" Type="http://schemas.openxmlformats.org/officeDocument/2006/relationships/hyperlink" Target="https://www.macrotrends.net/global-metrics/countries/LVA/latvia/trade-gdp-ratio" TargetMode="External"/><Relationship Id="rId119" Type="http://schemas.openxmlformats.org/officeDocument/2006/relationships/hyperlink" Target="https://www.macrotrends.net/global-metrics/countries/IDN/indonesia/trade-gdp-ratio" TargetMode="External"/><Relationship Id="rId44" Type="http://schemas.openxmlformats.org/officeDocument/2006/relationships/hyperlink" Target="https://www.macrotrends.net/global-metrics/countries/NIC/nicaragua/trade-gdp-ratio" TargetMode="External"/><Relationship Id="rId60" Type="http://schemas.openxmlformats.org/officeDocument/2006/relationships/hyperlink" Target="https://www.macrotrends.net/global-metrics/countries/COD/democratic-republic-of-congo/trade-gdp-ratio" TargetMode="External"/><Relationship Id="rId65" Type="http://schemas.openxmlformats.org/officeDocument/2006/relationships/hyperlink" Target="https://www.macrotrends.net/global-metrics/countries/ISL/iceland/trade-gdp-ratio" TargetMode="External"/><Relationship Id="rId81" Type="http://schemas.openxmlformats.org/officeDocument/2006/relationships/hyperlink" Target="https://www.macrotrends.net/global-metrics/countries/MDG/madagascar/trade-gdp-ratio" TargetMode="External"/><Relationship Id="rId86" Type="http://schemas.openxmlformats.org/officeDocument/2006/relationships/hyperlink" Target="https://www.macrotrends.net/global-metrics/countries/ITA/italy/trade-gdp-ratio" TargetMode="External"/><Relationship Id="rId130" Type="http://schemas.openxmlformats.org/officeDocument/2006/relationships/hyperlink" Target="https://www.macrotrends.net/global-metrics/countries/BGD/bangladesh/trade-gdp-ratio" TargetMode="External"/><Relationship Id="rId135" Type="http://schemas.openxmlformats.org/officeDocument/2006/relationships/hyperlink" Target="https://www.macrotrends.net/global-metrics/countries/ARG/argentina/trade-gdp-ratio" TargetMode="External"/><Relationship Id="rId151" Type="http://schemas.openxmlformats.org/officeDocument/2006/relationships/hyperlink" Target="https://www.macrotrends.net/global-metrics/countries/VUT/vanuatu/trade-gdp-ratio" TargetMode="External"/><Relationship Id="rId156" Type="http://schemas.openxmlformats.org/officeDocument/2006/relationships/hyperlink" Target="https://www.macrotrends.net/global-metrics/countries/NZL/new-zealand/trade-gdp-ratio" TargetMode="External"/><Relationship Id="rId177" Type="http://schemas.openxmlformats.org/officeDocument/2006/relationships/hyperlink" Target="https://www.macrotrends.net/global-metrics/countries/ZWE/zimbabwe/trade-gdp-ratio" TargetMode="External"/><Relationship Id="rId172" Type="http://schemas.openxmlformats.org/officeDocument/2006/relationships/hyperlink" Target="https://www.macrotrends.net/global-metrics/countries/JPN/japan/trade-gdp-ratio" TargetMode="External"/><Relationship Id="rId13" Type="http://schemas.openxmlformats.org/officeDocument/2006/relationships/hyperlink" Target="https://www.macrotrends.net/global-metrics/countries/NLD/netherlands/trade-gdp-ratio" TargetMode="External"/><Relationship Id="rId18" Type="http://schemas.openxmlformats.org/officeDocument/2006/relationships/hyperlink" Target="https://www.macrotrends.net/global-metrics/countries/MAC/macao/trade-gdp-ratio" TargetMode="External"/><Relationship Id="rId39" Type="http://schemas.openxmlformats.org/officeDocument/2006/relationships/hyperlink" Target="https://www.macrotrends.net/global-metrics/countries/TUN/tunisia/trade-gdp-ratio" TargetMode="External"/><Relationship Id="rId109" Type="http://schemas.openxmlformats.org/officeDocument/2006/relationships/hyperlink" Target="https://www.macrotrends.net/global-metrics/countries/DOM/dominican-republic/trade-gdp-ratio" TargetMode="External"/><Relationship Id="rId34" Type="http://schemas.openxmlformats.org/officeDocument/2006/relationships/hyperlink" Target="https://www.macrotrends.net/global-metrics/countries/XKX/kosovo/trade-gdp-ratio" TargetMode="External"/><Relationship Id="rId50" Type="http://schemas.openxmlformats.org/officeDocument/2006/relationships/hyperlink" Target="https://www.macrotrends.net/global-metrics/countries/MRT/mauritania/trade-gdp-ratio" TargetMode="External"/><Relationship Id="rId55" Type="http://schemas.openxmlformats.org/officeDocument/2006/relationships/hyperlink" Target="https://www.macrotrends.net/global-metrics/countries/GRC/greece/trade-gdp-ratio" TargetMode="External"/><Relationship Id="rId76" Type="http://schemas.openxmlformats.org/officeDocument/2006/relationships/hyperlink" Target="https://www.macrotrends.net/global-metrics/countries/UKR/ukraine/trade-gdp-ratio" TargetMode="External"/><Relationship Id="rId97" Type="http://schemas.openxmlformats.org/officeDocument/2006/relationships/hyperlink" Target="https://www.macrotrends.net/global-metrics/countries/BFA/burkina-faso/trade-gdp-ratio" TargetMode="External"/><Relationship Id="rId104" Type="http://schemas.openxmlformats.org/officeDocument/2006/relationships/hyperlink" Target="https://www.macrotrends.net/global-metrics/countries/IRN/iran/trade-gdp-ratio" TargetMode="External"/><Relationship Id="rId120" Type="http://schemas.openxmlformats.org/officeDocument/2006/relationships/hyperlink" Target="https://www.macrotrends.net/global-metrics/countries/GMB/gambia/trade-gdp-ratio" TargetMode="External"/><Relationship Id="rId125" Type="http://schemas.openxmlformats.org/officeDocument/2006/relationships/hyperlink" Target="https://www.macrotrends.net/global-metrics/countries/CHN/china/trade-gdp-ratio" TargetMode="External"/><Relationship Id="rId141" Type="http://schemas.openxmlformats.org/officeDocument/2006/relationships/hyperlink" Target="https://www.macrotrends.net/global-metrics/countries/KGZ/kyrgyz-republic/trade-gdp-ratio" TargetMode="External"/><Relationship Id="rId146" Type="http://schemas.openxmlformats.org/officeDocument/2006/relationships/hyperlink" Target="https://www.macrotrends.net/global-metrics/countries/ARE/uae/trade-gdp-ratio" TargetMode="External"/><Relationship Id="rId167" Type="http://schemas.openxmlformats.org/officeDocument/2006/relationships/hyperlink" Target="https://www.macrotrends.net/global-metrics/countries/TLS/timor-leste/trade-gdp-ratio" TargetMode="External"/><Relationship Id="rId7" Type="http://schemas.openxmlformats.org/officeDocument/2006/relationships/hyperlink" Target="https://www.macrotrends.net/global-metrics/countries/SYC/seychelles/trade-gdp-ratio" TargetMode="External"/><Relationship Id="rId71" Type="http://schemas.openxmlformats.org/officeDocument/2006/relationships/hyperlink" Target="https://www.macrotrends.net/global-metrics/countries/BHS/bahamas/trade-gdp-ratio" TargetMode="External"/><Relationship Id="rId92" Type="http://schemas.openxmlformats.org/officeDocument/2006/relationships/hyperlink" Target="https://www.macrotrends.net/global-metrics/countries/AGO/angola/trade-gdp-ratio" TargetMode="External"/><Relationship Id="rId162" Type="http://schemas.openxmlformats.org/officeDocument/2006/relationships/hyperlink" Target="https://www.macrotrends.net/global-metrics/countries/JAM/jamaica/trade-gdp-ratio" TargetMode="External"/><Relationship Id="rId183" Type="http://schemas.openxmlformats.org/officeDocument/2006/relationships/printerSettings" Target="../printerSettings/printerSettings2.bin"/><Relationship Id="rId2" Type="http://schemas.openxmlformats.org/officeDocument/2006/relationships/hyperlink" Target="https://www.macrotrends.net/global-metrics/countries/HKG/hong-kong/trade-gdp-ratio" TargetMode="External"/><Relationship Id="rId29" Type="http://schemas.openxmlformats.org/officeDocument/2006/relationships/hyperlink" Target="https://www.macrotrends.net/global-metrics/countries/MNE/montenegro/trade-gdp-ratio" TargetMode="External"/><Relationship Id="rId24" Type="http://schemas.openxmlformats.org/officeDocument/2006/relationships/hyperlink" Target="https://www.macrotrends.net/global-metrics/countries/MYS/malaysia/trade-gdp-ratio" TargetMode="External"/><Relationship Id="rId40" Type="http://schemas.openxmlformats.org/officeDocument/2006/relationships/hyperlink" Target="https://www.macrotrends.net/global-metrics/countries/MUS/mauritius/trade-gdp-ratio" TargetMode="External"/><Relationship Id="rId45" Type="http://schemas.openxmlformats.org/officeDocument/2006/relationships/hyperlink" Target="https://www.macrotrends.net/global-metrics/countries/SWE/sweden/trade-gdp-ratio" TargetMode="External"/><Relationship Id="rId66" Type="http://schemas.openxmlformats.org/officeDocument/2006/relationships/hyperlink" Target="https://www.macrotrends.net/global-metrics/countries/PSE/west-bank-and-gaza/trade-gdp-ratio" TargetMode="External"/><Relationship Id="rId87" Type="http://schemas.openxmlformats.org/officeDocument/2006/relationships/hyperlink" Target="https://www.macrotrends.net/global-metrics/countries/FRA/france/trade-gdp-ratio" TargetMode="External"/><Relationship Id="rId110" Type="http://schemas.openxmlformats.org/officeDocument/2006/relationships/hyperlink" Target="https://www.macrotrends.net/global-metrics/countries/AUS/australia/trade-gdp-ratio" TargetMode="External"/><Relationship Id="rId115" Type="http://schemas.openxmlformats.org/officeDocument/2006/relationships/hyperlink" Target="https://www.macrotrends.net/global-metrics/countries/CAF/central-african-republic/trade-gdp-ratio" TargetMode="External"/><Relationship Id="rId131" Type="http://schemas.openxmlformats.org/officeDocument/2006/relationships/hyperlink" Target="https://www.macrotrends.net/global-metrics/countries/HTI/haiti/trade-gdp-ratio" TargetMode="External"/><Relationship Id="rId136" Type="http://schemas.openxmlformats.org/officeDocument/2006/relationships/hyperlink" Target="https://www.macrotrends.net/global-metrics/countries/ETH/ethiopia/trade-gdp-ratio" TargetMode="External"/><Relationship Id="rId157" Type="http://schemas.openxmlformats.org/officeDocument/2006/relationships/hyperlink" Target="https://www.macrotrends.net/global-metrics/countries/BHR/bahrain/trade-gdp-ratio" TargetMode="External"/><Relationship Id="rId178" Type="http://schemas.openxmlformats.org/officeDocument/2006/relationships/hyperlink" Target="https://www.macrotrends.net/global-metrics/countries/KAZ/kazakhstan/trade-gdp-ratio" TargetMode="External"/><Relationship Id="rId61" Type="http://schemas.openxmlformats.org/officeDocument/2006/relationships/hyperlink" Target="https://www.macrotrends.net/global-metrics/countries/WSM/samoa/trade-gdp-ratio" TargetMode="External"/><Relationship Id="rId82" Type="http://schemas.openxmlformats.org/officeDocument/2006/relationships/hyperlink" Target="https://www.macrotrends.net/global-metrics/countries/CRI/costa-rica/trade-gdp-ratio" TargetMode="External"/><Relationship Id="rId152" Type="http://schemas.openxmlformats.org/officeDocument/2006/relationships/hyperlink" Target="https://www.macrotrends.net/global-metrics/countries/NRU/nauru/trade-gdp-ratio" TargetMode="External"/><Relationship Id="rId173" Type="http://schemas.openxmlformats.org/officeDocument/2006/relationships/hyperlink" Target="https://www.macrotrends.net/global-metrics/countries/PYF/french-polynesia/trade-gdp-ratio" TargetMode="External"/><Relationship Id="rId19" Type="http://schemas.openxmlformats.org/officeDocument/2006/relationships/hyperlink" Target="https://www.macrotrends.net/global-metrics/countries/CZE/czech-republic/trade-gdp-ratio" TargetMode="External"/><Relationship Id="rId14" Type="http://schemas.openxmlformats.org/officeDocument/2006/relationships/hyperlink" Target="https://www.macrotrends.net/global-metrics/countries/HUN/hungary/trade-gdp-ratio" TargetMode="External"/><Relationship Id="rId30" Type="http://schemas.openxmlformats.org/officeDocument/2006/relationships/hyperlink" Target="https://www.macrotrends.net/global-metrics/countries/BGR/bulgaria/trade-gdp-ratio" TargetMode="External"/><Relationship Id="rId35" Type="http://schemas.openxmlformats.org/officeDocument/2006/relationships/hyperlink" Target="https://www.macrotrends.net/global-metrics/countries/LBY/libya/trade-gdp-ratio" TargetMode="External"/><Relationship Id="rId56" Type="http://schemas.openxmlformats.org/officeDocument/2006/relationships/hyperlink" Target="https://www.macrotrends.net/global-metrics/countries/SOM/somalia/trade-gdp-ratio" TargetMode="External"/><Relationship Id="rId77" Type="http://schemas.openxmlformats.org/officeDocument/2006/relationships/hyperlink" Target="https://www.macrotrends.net/global-metrics/countries/GAB/gabon/trade-gdp-ratio" TargetMode="External"/><Relationship Id="rId100" Type="http://schemas.openxmlformats.org/officeDocument/2006/relationships/hyperlink" Target="https://www.macrotrends.net/global-metrics/countries/CHL/chile/trade-gdp-ratio" TargetMode="External"/><Relationship Id="rId105" Type="http://schemas.openxmlformats.org/officeDocument/2006/relationships/hyperlink" Target="https://www.macrotrends.net/global-metrics/countries/URY/uruguay/trade-gdp-ratio" TargetMode="External"/><Relationship Id="rId126" Type="http://schemas.openxmlformats.org/officeDocument/2006/relationships/hyperlink" Target="https://www.macrotrends.net/global-metrics/countries/UGA/uganda/trade-gdp-ratio" TargetMode="External"/><Relationship Id="rId147" Type="http://schemas.openxmlformats.org/officeDocument/2006/relationships/hyperlink" Target="https://www.macrotrends.net/global-metrics/countries/VNM/vietnam/trade-gdp-ratio" TargetMode="External"/><Relationship Id="rId168" Type="http://schemas.openxmlformats.org/officeDocument/2006/relationships/hyperlink" Target="https://www.macrotrends.net/global-metrics/countries/ABW/aruba/trade-gdp-ratio" TargetMode="External"/><Relationship Id="rId8" Type="http://schemas.openxmlformats.org/officeDocument/2006/relationships/hyperlink" Target="https://www.macrotrends.net/global-metrics/countries/SVK/slovak-republic/trade-gdp-ratio" TargetMode="External"/><Relationship Id="rId51" Type="http://schemas.openxmlformats.org/officeDocument/2006/relationships/hyperlink" Target="https://www.macrotrends.net/global-metrics/countries/COG/republic-of-congo/trade-gdp-ratio" TargetMode="External"/><Relationship Id="rId72" Type="http://schemas.openxmlformats.org/officeDocument/2006/relationships/hyperlink" Target="https://www.macrotrends.net/global-metrics/countries/FIN/finland/trade-gdp-ratio" TargetMode="External"/><Relationship Id="rId93" Type="http://schemas.openxmlformats.org/officeDocument/2006/relationships/hyperlink" Target="https://www.macrotrends.net/global-metrics/countries/RWA/rwanda/trade-gdp-ratio" TargetMode="External"/><Relationship Id="rId98" Type="http://schemas.openxmlformats.org/officeDocument/2006/relationships/hyperlink" Target="https://www.macrotrends.net/global-metrics/countries/SAU/saudi-arabia/trade-gdp-ratio" TargetMode="External"/><Relationship Id="rId121" Type="http://schemas.openxmlformats.org/officeDocument/2006/relationships/hyperlink" Target="https://www.macrotrends.net/global-metrics/countries/COL/colombia/trade-gdp-ratio" TargetMode="External"/><Relationship Id="rId142" Type="http://schemas.openxmlformats.org/officeDocument/2006/relationships/hyperlink" Target="https://www.macrotrends.net/global-metrics/countries/MNP/northern-mariana-islands/trade-gdp-ratio" TargetMode="External"/><Relationship Id="rId163" Type="http://schemas.openxmlformats.org/officeDocument/2006/relationships/hyperlink" Target="https://www.macrotrends.net/global-metrics/countries/SLB/solomon-islands/trade-gdp-ratio" TargetMode="External"/><Relationship Id="rId3" Type="http://schemas.openxmlformats.org/officeDocument/2006/relationships/hyperlink" Target="https://www.macrotrends.net/global-metrics/countries/DJI/djibouti/trade-gdp-ratio" TargetMode="External"/><Relationship Id="rId25" Type="http://schemas.openxmlformats.org/officeDocument/2006/relationships/hyperlink" Target="https://www.macrotrends.net/global-metrics/countries/THA/thailand/trade-gdp-ratio" TargetMode="External"/><Relationship Id="rId46" Type="http://schemas.openxmlformats.org/officeDocument/2006/relationships/hyperlink" Target="https://www.macrotrends.net/global-metrics/countries/PRI/puerto-rico/trade-gdp-ratio" TargetMode="External"/><Relationship Id="rId67" Type="http://schemas.openxmlformats.org/officeDocument/2006/relationships/hyperlink" Target="https://www.macrotrends.net/global-metrics/countries/ALB/albania/trade-gdp-ratio" TargetMode="External"/><Relationship Id="rId116" Type="http://schemas.openxmlformats.org/officeDocument/2006/relationships/hyperlink" Target="https://www.macrotrends.net/global-metrics/countries/LKA/sri-lanka/trade-gdp-ratio" TargetMode="External"/><Relationship Id="rId137" Type="http://schemas.openxmlformats.org/officeDocument/2006/relationships/hyperlink" Target="https://www.macrotrends.net/global-metrics/countries/SDN/sudan/trade-gdp-ratio" TargetMode="External"/><Relationship Id="rId158" Type="http://schemas.openxmlformats.org/officeDocument/2006/relationships/hyperlink" Target="https://www.macrotrends.net/global-metrics/countries/TJK/tajikistan/trade-gdp-ratio" TargetMode="External"/><Relationship Id="rId20" Type="http://schemas.openxmlformats.org/officeDocument/2006/relationships/hyperlink" Target="https://www.macrotrends.net/global-metrics/countries/CHE/switzerland/trade-gdp-ratio" TargetMode="External"/><Relationship Id="rId41" Type="http://schemas.openxmlformats.org/officeDocument/2006/relationships/hyperlink" Target="https://www.macrotrends.net/global-metrics/countries/SLE/sierra-leone/trade-gdp-ratio" TargetMode="External"/><Relationship Id="rId62" Type="http://schemas.openxmlformats.org/officeDocument/2006/relationships/hyperlink" Target="https://www.macrotrends.net/global-metrics/countries/DEU/germany/trade-gdp-ratio" TargetMode="External"/><Relationship Id="rId83" Type="http://schemas.openxmlformats.org/officeDocument/2006/relationships/hyperlink" Target="https://www.macrotrends.net/global-metrics/countries/SEN/senegal/trade-gdp-ratio" TargetMode="External"/><Relationship Id="rId88" Type="http://schemas.openxmlformats.org/officeDocument/2006/relationships/hyperlink" Target="https://www.macrotrends.net/global-metrics/countries/CAN/canada/trade-gdp-ratio" TargetMode="External"/><Relationship Id="rId111" Type="http://schemas.openxmlformats.org/officeDocument/2006/relationships/hyperlink" Target="https://www.macrotrends.net/global-metrics/countries/COM/comoros/trade-gdp-ratio" TargetMode="External"/><Relationship Id="rId132" Type="http://schemas.openxmlformats.org/officeDocument/2006/relationships/hyperlink" Target="https://www.macrotrends.net/global-metrics/countries/NER/niger/trade-gdp-ratio" TargetMode="External"/><Relationship Id="rId153" Type="http://schemas.openxmlformats.org/officeDocument/2006/relationships/hyperlink" Target="https://www.macrotrends.net/global-metrics/countries/MHL/marshall-islands/trade-gdp-ratio" TargetMode="External"/><Relationship Id="rId174" Type="http://schemas.openxmlformats.org/officeDocument/2006/relationships/hyperlink" Target="https://www.macrotrends.net/global-metrics/countries/TON/tonga/trade-gdp-ratio" TargetMode="External"/><Relationship Id="rId179" Type="http://schemas.openxmlformats.org/officeDocument/2006/relationships/hyperlink" Target="https://www.macrotrends.net/global-metrics/countries/QAT/qatar/trade-gdp-ratio" TargetMode="External"/><Relationship Id="rId15" Type="http://schemas.openxmlformats.org/officeDocument/2006/relationships/hyperlink" Target="https://www.macrotrends.net/global-metrics/countries/EST/estonia/trade-gdp-ratio" TargetMode="External"/><Relationship Id="rId36" Type="http://schemas.openxmlformats.org/officeDocument/2006/relationships/hyperlink" Target="https://www.macrotrends.net/global-metrics/countries/HRV/croatia/trade-gdp-ratio" TargetMode="External"/><Relationship Id="rId57" Type="http://schemas.openxmlformats.org/officeDocument/2006/relationships/hyperlink" Target="https://www.macrotrends.net/global-metrics/countries/PRT/portugal/trade-gdp-ratio" TargetMode="External"/><Relationship Id="rId106" Type="http://schemas.openxmlformats.org/officeDocument/2006/relationships/hyperlink" Target="https://www.macrotrends.net/global-metrics/countries/BEN/benin/trade-gdp-ratio" TargetMode="External"/><Relationship Id="rId127" Type="http://schemas.openxmlformats.org/officeDocument/2006/relationships/hyperlink" Target="https://www.macrotrends.net/global-metrics/countries/TKM/turkmenistan/trade-gdp-ratio" TargetMode="External"/><Relationship Id="rId10" Type="http://schemas.openxmlformats.org/officeDocument/2006/relationships/hyperlink" Target="https://www.macrotrends.net/global-metrics/countries/BEL/belgium/trade-gdp-ratio" TargetMode="External"/><Relationship Id="rId31" Type="http://schemas.openxmlformats.org/officeDocument/2006/relationships/hyperlink" Target="https://www.macrotrends.net/global-metrics/countries/ARM/armenia/trade-gdp-ratio" TargetMode="External"/><Relationship Id="rId52" Type="http://schemas.openxmlformats.org/officeDocument/2006/relationships/hyperlink" Target="https://www.macrotrends.net/global-metrics/countries/MAR/morocco/trade-gdp-ratio" TargetMode="External"/><Relationship Id="rId73" Type="http://schemas.openxmlformats.org/officeDocument/2006/relationships/hyperlink" Target="https://www.macrotrends.net/global-metrics/countries/SLV/el-salvador/trade-gdp-ratio" TargetMode="External"/><Relationship Id="rId78" Type="http://schemas.openxmlformats.org/officeDocument/2006/relationships/hyperlink" Target="https://www.macrotrends.net/global-metrics/countries/MEX/mexico/trade-gdp-ratio" TargetMode="External"/><Relationship Id="rId94" Type="http://schemas.openxmlformats.org/officeDocument/2006/relationships/hyperlink" Target="https://www.macrotrends.net/global-metrics/countries/MLI/mali/trade-gdp-ratio" TargetMode="External"/><Relationship Id="rId99" Type="http://schemas.openxmlformats.org/officeDocument/2006/relationships/hyperlink" Target="https://www.macrotrends.net/global-metrics/countries/TGO/togo/trade-gdp-ratio" TargetMode="External"/><Relationship Id="rId101" Type="http://schemas.openxmlformats.org/officeDocument/2006/relationships/hyperlink" Target="https://www.macrotrends.net/global-metrics/countries/BOL/bolivia/trade-gdp-ratio" TargetMode="External"/><Relationship Id="rId122" Type="http://schemas.openxmlformats.org/officeDocument/2006/relationships/hyperlink" Target="https://www.macrotrends.net/global-metrics/countries/EGY/egypt/trade-gdp-ratio" TargetMode="External"/><Relationship Id="rId143" Type="http://schemas.openxmlformats.org/officeDocument/2006/relationships/hyperlink" Target="https://www.macrotrends.net/global-metrics/countries/GUM/guam/trade-gdp-ratio" TargetMode="External"/><Relationship Id="rId148" Type="http://schemas.openxmlformats.org/officeDocument/2006/relationships/hyperlink" Target="https://www.macrotrends.net/global-metrics/countries/IRQ/iraq/trade-gdp-ratio" TargetMode="External"/><Relationship Id="rId164" Type="http://schemas.openxmlformats.org/officeDocument/2006/relationships/hyperlink" Target="https://www.macrotrends.net/global-metrics/countries/USA/united-states/trade-gdp-ratio" TargetMode="External"/><Relationship Id="rId169" Type="http://schemas.openxmlformats.org/officeDocument/2006/relationships/hyperlink" Target="https://www.macrotrends.net/global-metrics/countries/LBN/lebanon/trade-gdp-ratio" TargetMode="External"/><Relationship Id="rId4" Type="http://schemas.openxmlformats.org/officeDocument/2006/relationships/hyperlink" Target="https://www.macrotrends.net/global-metrics/countries/MLT/malta/trade-gdp-ratio" TargetMode="External"/><Relationship Id="rId9" Type="http://schemas.openxmlformats.org/officeDocument/2006/relationships/hyperlink" Target="https://www.macrotrends.net/global-metrics/countries/CYP/cyprus/trade-gdp-ratio" TargetMode="External"/><Relationship Id="rId180" Type="http://schemas.openxmlformats.org/officeDocument/2006/relationships/hyperlink" Target="https://www.macrotrends.net/global-metrics/countries/GRL/greenland/trade-gdp-ratio" TargetMode="External"/><Relationship Id="rId26" Type="http://schemas.openxmlformats.org/officeDocument/2006/relationships/hyperlink" Target="https://www.macrotrends.net/global-metrics/countries/DNK/denmark/trade-gdp-ratio" TargetMode="External"/><Relationship Id="rId47" Type="http://schemas.openxmlformats.org/officeDocument/2006/relationships/hyperlink" Target="https://www.macrotrends.net/global-metrics/countries/BIH/bosnia/trade-gdp-ratio" TargetMode="External"/><Relationship Id="rId68" Type="http://schemas.openxmlformats.org/officeDocument/2006/relationships/hyperlink" Target="https://www.macrotrends.net/global-metrics/countries/AZE/azerbaijan/trade-gdp-ratio" TargetMode="External"/><Relationship Id="rId89" Type="http://schemas.openxmlformats.org/officeDocument/2006/relationships/hyperlink" Target="https://www.macrotrends.net/global-metrics/countries/PHL/philippines/trade-gdp-ratio" TargetMode="External"/><Relationship Id="rId112" Type="http://schemas.openxmlformats.org/officeDocument/2006/relationships/hyperlink" Target="https://www.macrotrends.net/global-metrics/countries/DZA/algeria/trade-gdp-ratio" TargetMode="External"/><Relationship Id="rId133" Type="http://schemas.openxmlformats.org/officeDocument/2006/relationships/hyperlink" Target="https://www.macrotrends.net/global-metrics/countries/BDI/burundi/trade-gdp-ratio" TargetMode="External"/><Relationship Id="rId154" Type="http://schemas.openxmlformats.org/officeDocument/2006/relationships/hyperlink" Target="https://www.macrotrends.net/global-metrics/countries/BTN/bhutan/trade-gdp-ratio" TargetMode="External"/><Relationship Id="rId175" Type="http://schemas.openxmlformats.org/officeDocument/2006/relationships/hyperlink" Target="https://www.macrotrends.net/global-metrics/countries/AFG/afghanistan/trade-gdp-ratio" TargetMode="External"/><Relationship Id="rId16" Type="http://schemas.openxmlformats.org/officeDocument/2006/relationships/hyperlink" Target="https://www.macrotrends.net/global-metrics/countries/LTU/lithuania/trade-gdp-ratio" TargetMode="External"/><Relationship Id="rId37" Type="http://schemas.openxmlformats.org/officeDocument/2006/relationships/hyperlink" Target="https://www.macrotrends.net/global-metrics/countries/NAM/namibia/trade-gdp-ratio" TargetMode="External"/><Relationship Id="rId58" Type="http://schemas.openxmlformats.org/officeDocument/2006/relationships/hyperlink" Target="https://www.macrotrends.net/global-metrics/countries/CPV/cabo-verde/trade-gdp-ratio" TargetMode="External"/><Relationship Id="rId79" Type="http://schemas.openxmlformats.org/officeDocument/2006/relationships/hyperlink" Target="https://www.macrotrends.net/global-metrics/countries/ESP/spain/trade-gdp-ratio" TargetMode="External"/><Relationship Id="rId102" Type="http://schemas.openxmlformats.org/officeDocument/2006/relationships/hyperlink" Target="https://www.macrotrends.net/global-metrics/countries/ISR/israel/trade-gdp-ratio" TargetMode="External"/><Relationship Id="rId123" Type="http://schemas.openxmlformats.org/officeDocument/2006/relationships/hyperlink" Target="https://www.macrotrends.net/global-metrics/countries/CMR/cameroon/trade-gdp-ratio" TargetMode="External"/><Relationship Id="rId144" Type="http://schemas.openxmlformats.org/officeDocument/2006/relationships/hyperlink" Target="https://www.macrotrends.net/global-metrics/countries/VIR/virgin-islands-us/trade-gdp-ratio" TargetMode="External"/><Relationship Id="rId90" Type="http://schemas.openxmlformats.org/officeDocument/2006/relationships/hyperlink" Target="https://www.macrotrends.net/global-metrics/countries/BWA/botswana/trade-gdp-ratio" TargetMode="External"/><Relationship Id="rId165" Type="http://schemas.openxmlformats.org/officeDocument/2006/relationships/hyperlink" Target="https://www.macrotrends.net/global-metrics/countries/FRO/faroe-islands/trade-gdp-ratio" TargetMode="External"/><Relationship Id="rId27" Type="http://schemas.openxmlformats.org/officeDocument/2006/relationships/hyperlink" Target="https://www.macrotrends.net/global-metrics/countries/SRB/serbia/trade-gdp-ratio" TargetMode="External"/><Relationship Id="rId48" Type="http://schemas.openxmlformats.org/officeDocument/2006/relationships/hyperlink" Target="https://www.macrotrends.net/global-metrics/countries/KIR/kiribati/trade-gdp-ratio" TargetMode="External"/><Relationship Id="rId69" Type="http://schemas.openxmlformats.org/officeDocument/2006/relationships/hyperlink" Target="https://www.macrotrends.net/global-metrics/countries/ROU/romania/trade-gdp-ratio" TargetMode="External"/><Relationship Id="rId113" Type="http://schemas.openxmlformats.org/officeDocument/2006/relationships/hyperlink" Target="https://www.macrotrends.net/global-metrics/countries/GNB/guinea-bissau/trade-gdp-ratio" TargetMode="External"/><Relationship Id="rId134" Type="http://schemas.openxmlformats.org/officeDocument/2006/relationships/hyperlink" Target="https://www.macrotrends.net/global-metrics/countries/PAK/pakistan/trade-gdp-ratio" TargetMode="External"/><Relationship Id="rId80" Type="http://schemas.openxmlformats.org/officeDocument/2006/relationships/hyperlink" Target="https://www.macrotrends.net/global-metrics/countries/UZB/uzbekistan/trade-gdp-ratio" TargetMode="External"/><Relationship Id="rId155" Type="http://schemas.openxmlformats.org/officeDocument/2006/relationships/hyperlink" Target="https://www.macrotrends.net/global-metrics/countries/ASM/american-samoa/trade-gdp-ratio" TargetMode="External"/><Relationship Id="rId176" Type="http://schemas.openxmlformats.org/officeDocument/2006/relationships/hyperlink" Target="https://www.macrotrends.net/global-metrics/countries/CUB/cuba/trade-gdp-ratio" TargetMode="External"/><Relationship Id="rId17" Type="http://schemas.openxmlformats.org/officeDocument/2006/relationships/hyperlink" Target="https://www.macrotrends.net/global-metrics/countries/MNG/mongolia/trade-gdp-ratio" TargetMode="External"/><Relationship Id="rId38" Type="http://schemas.openxmlformats.org/officeDocument/2006/relationships/hyperlink" Target="https://www.macrotrends.net/global-metrics/countries/POL/poland/trade-gdp-ratio" TargetMode="External"/><Relationship Id="rId59" Type="http://schemas.openxmlformats.org/officeDocument/2006/relationships/hyperlink" Target="https://www.macrotrends.net/global-metrics/countries/TCD/chad/trade-gdp-ratio" TargetMode="External"/><Relationship Id="rId103" Type="http://schemas.openxmlformats.org/officeDocument/2006/relationships/hyperlink" Target="https://www.macrotrends.net/global-metrics/countries/ECU/ecuador/trade-gdp-ratio" TargetMode="External"/><Relationship Id="rId124" Type="http://schemas.openxmlformats.org/officeDocument/2006/relationships/hyperlink" Target="https://www.macrotrends.net/global-metrics/countries/TZA/tanzania/trade-gdp-ratio" TargetMode="External"/><Relationship Id="rId70" Type="http://schemas.openxmlformats.org/officeDocument/2006/relationships/hyperlink" Target="https://www.macrotrends.net/global-metrics/countries/PRY/paraguay/trade-gdp-ratio" TargetMode="External"/><Relationship Id="rId91" Type="http://schemas.openxmlformats.org/officeDocument/2006/relationships/hyperlink" Target="https://www.macrotrends.net/global-metrics/countries/TUR/turkey/trade-gdp-ratio" TargetMode="External"/><Relationship Id="rId145" Type="http://schemas.openxmlformats.org/officeDocument/2006/relationships/hyperlink" Target="https://www.macrotrends.net/global-metrics/countries/MOZ/mozambique/trade-gdp-ratio" TargetMode="External"/><Relationship Id="rId166" Type="http://schemas.openxmlformats.org/officeDocument/2006/relationships/hyperlink" Target="https://www.macrotrends.net/global-metrics/countries/JOR/jordan/trade-gdp-ratio" TargetMode="External"/><Relationship Id="rId1" Type="http://schemas.openxmlformats.org/officeDocument/2006/relationships/hyperlink" Target="https://www.macrotrends.net/global-metrics/countries/LUX/luxembourg/trade-gdp-ratio" TargetMode="External"/><Relationship Id="rId28" Type="http://schemas.openxmlformats.org/officeDocument/2006/relationships/hyperlink" Target="https://www.macrotrends.net/global-metrics/countries/FJI/fiji/trade-gdp-ratio" TargetMode="External"/><Relationship Id="rId49" Type="http://schemas.openxmlformats.org/officeDocument/2006/relationships/hyperlink" Target="https://www.macrotrends.net/global-metrics/countries/HND/honduras/trade-gdp-ratio" TargetMode="External"/><Relationship Id="rId114" Type="http://schemas.openxmlformats.org/officeDocument/2006/relationships/hyperlink" Target="https://www.macrotrends.net/global-metrics/countries/IND/india/trade-gdp-ratio" TargetMode="External"/></Relationships>
</file>

<file path=xl/worksheets/_rels/sheet9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macrotrends.net/global-metrics/countries/CZE/czech-republic/tariff-rates" TargetMode="External"/><Relationship Id="rId21" Type="http://schemas.openxmlformats.org/officeDocument/2006/relationships/hyperlink" Target="https://www.macrotrends.net/global-metrics/countries/BEN/benin/tariff-rates" TargetMode="External"/><Relationship Id="rId42" Type="http://schemas.openxmlformats.org/officeDocument/2006/relationships/hyperlink" Target="https://www.macrotrends.net/global-metrics/countries/MRT/mauritania/tariff-rates" TargetMode="External"/><Relationship Id="rId63" Type="http://schemas.openxmlformats.org/officeDocument/2006/relationships/hyperlink" Target="https://www.macrotrends.net/global-metrics/countries/PRY/paraguay/tariff-rates" TargetMode="External"/><Relationship Id="rId84" Type="http://schemas.openxmlformats.org/officeDocument/2006/relationships/hyperlink" Target="https://www.macrotrends.net/global-metrics/countries/HND/honduras/tariff-rates" TargetMode="External"/><Relationship Id="rId138" Type="http://schemas.openxmlformats.org/officeDocument/2006/relationships/hyperlink" Target="https://www.macrotrends.net/global-metrics/countries/ROU/romania/tariff-rates" TargetMode="External"/><Relationship Id="rId159" Type="http://schemas.openxmlformats.org/officeDocument/2006/relationships/hyperlink" Target="https://www.macrotrends.net/global-metrics/countries/IRN/iran/tariff-rates" TargetMode="External"/><Relationship Id="rId170" Type="http://schemas.openxmlformats.org/officeDocument/2006/relationships/hyperlink" Target="https://www.macrotrends.net/global-metrics/countries/YEM/yemen/tariff-rates" TargetMode="External"/><Relationship Id="rId107" Type="http://schemas.openxmlformats.org/officeDocument/2006/relationships/hyperlink" Target="https://www.macrotrends.net/global-metrics/countries/UKR/ukraine/tariff-rates" TargetMode="External"/><Relationship Id="rId11" Type="http://schemas.openxmlformats.org/officeDocument/2006/relationships/hyperlink" Target="https://www.macrotrends.net/global-metrics/countries/GIN/guinea/tariff-rates" TargetMode="External"/><Relationship Id="rId32" Type="http://schemas.openxmlformats.org/officeDocument/2006/relationships/hyperlink" Target="https://www.macrotrends.net/global-metrics/countries/CUB/cuba/tariff-rates" TargetMode="External"/><Relationship Id="rId53" Type="http://schemas.openxmlformats.org/officeDocument/2006/relationships/hyperlink" Target="https://www.macrotrends.net/global-metrics/countries/IND/india/tariff-rates" TargetMode="External"/><Relationship Id="rId74" Type="http://schemas.openxmlformats.org/officeDocument/2006/relationships/hyperlink" Target="https://www.macrotrends.net/global-metrics/countries/PNG/papua-new-guinea/tariff-rates" TargetMode="External"/><Relationship Id="rId128" Type="http://schemas.openxmlformats.org/officeDocument/2006/relationships/hyperlink" Target="https://www.macrotrends.net/global-metrics/countries/PRT/portugal/tariff-rates" TargetMode="External"/><Relationship Id="rId149" Type="http://schemas.openxmlformats.org/officeDocument/2006/relationships/hyperlink" Target="https://www.macrotrends.net/global-metrics/countries/AUS/australia/tariff-rates" TargetMode="External"/><Relationship Id="rId5" Type="http://schemas.openxmlformats.org/officeDocument/2006/relationships/hyperlink" Target="https://www.macrotrends.net/global-metrics/countries/SLB/solomon-islands/tariff-rates" TargetMode="External"/><Relationship Id="rId95" Type="http://schemas.openxmlformats.org/officeDocument/2006/relationships/hyperlink" Target="https://www.macrotrends.net/global-metrics/countries/BLR/belarus/tariff-rates" TargetMode="External"/><Relationship Id="rId160" Type="http://schemas.openxmlformats.org/officeDocument/2006/relationships/hyperlink" Target="https://www.macrotrends.net/global-metrics/countries/TUV/tuvalu/tariff-rates" TargetMode="External"/><Relationship Id="rId22" Type="http://schemas.openxmlformats.org/officeDocument/2006/relationships/hyperlink" Target="https://www.macrotrends.net/global-metrics/countries/TGO/togo/tariff-rates" TargetMode="External"/><Relationship Id="rId43" Type="http://schemas.openxmlformats.org/officeDocument/2006/relationships/hyperlink" Target="https://www.macrotrends.net/global-metrics/countries/MLI/mali/tariff-rates" TargetMode="External"/><Relationship Id="rId64" Type="http://schemas.openxmlformats.org/officeDocument/2006/relationships/hyperlink" Target="https://www.macrotrends.net/global-metrics/countries/ZAF/south-africa/tariff-rates" TargetMode="External"/><Relationship Id="rId118" Type="http://schemas.openxmlformats.org/officeDocument/2006/relationships/hyperlink" Target="https://www.macrotrends.net/global-metrics/countries/POL/poland/tariff-rates" TargetMode="External"/><Relationship Id="rId139" Type="http://schemas.openxmlformats.org/officeDocument/2006/relationships/hyperlink" Target="https://www.macrotrends.net/global-metrics/countries/NAM/namibia/tariff-rates" TargetMode="External"/><Relationship Id="rId85" Type="http://schemas.openxmlformats.org/officeDocument/2006/relationships/hyperlink" Target="https://www.macrotrends.net/global-metrics/countries/KWT/kuwait/tariff-rates" TargetMode="External"/><Relationship Id="rId150" Type="http://schemas.openxmlformats.org/officeDocument/2006/relationships/hyperlink" Target="https://www.macrotrends.net/global-metrics/countries/GBR/united-kingdom/tariff-rates" TargetMode="External"/><Relationship Id="rId171" Type="http://schemas.openxmlformats.org/officeDocument/2006/relationships/hyperlink" Target="https://www.macrotrends.net/global-metrics/countries/BHS/bahamas/tariff-rates" TargetMode="External"/><Relationship Id="rId12" Type="http://schemas.openxmlformats.org/officeDocument/2006/relationships/hyperlink" Target="https://www.macrotrends.net/global-metrics/countries/BRB/barbados/tariff-rates" TargetMode="External"/><Relationship Id="rId33" Type="http://schemas.openxmlformats.org/officeDocument/2006/relationships/hyperlink" Target="https://www.macrotrends.net/global-metrics/countries/SEN/senegal/tariff-rates" TargetMode="External"/><Relationship Id="rId108" Type="http://schemas.openxmlformats.org/officeDocument/2006/relationships/hyperlink" Target="https://www.macrotrends.net/global-metrics/countries/ISL/iceland/tariff-rates" TargetMode="External"/><Relationship Id="rId129" Type="http://schemas.openxmlformats.org/officeDocument/2006/relationships/hyperlink" Target="https://www.macrotrends.net/global-metrics/countries/LVA/latvia/tariff-rates" TargetMode="External"/><Relationship Id="rId54" Type="http://schemas.openxmlformats.org/officeDocument/2006/relationships/hyperlink" Target="https://www.macrotrends.net/global-metrics/countries/PYF/french-polynesia/tariff-rates" TargetMode="External"/><Relationship Id="rId75" Type="http://schemas.openxmlformats.org/officeDocument/2006/relationships/hyperlink" Target="https://www.macrotrends.net/global-metrics/countries/QAT/qatar/tariff-rates" TargetMode="External"/><Relationship Id="rId96" Type="http://schemas.openxmlformats.org/officeDocument/2006/relationships/hyperlink" Target="https://www.macrotrends.net/global-metrics/countries/KAZ/kazakhstan/tariff-rates" TargetMode="External"/><Relationship Id="rId140" Type="http://schemas.openxmlformats.org/officeDocument/2006/relationships/hyperlink" Target="https://www.macrotrends.net/global-metrics/countries/MUS/mauritius/tariff-rates" TargetMode="External"/><Relationship Id="rId161" Type="http://schemas.openxmlformats.org/officeDocument/2006/relationships/hyperlink" Target="https://www.macrotrends.net/global-metrics/countries/CMR/cameroon/tariff-rates" TargetMode="External"/><Relationship Id="rId6" Type="http://schemas.openxmlformats.org/officeDocument/2006/relationships/hyperlink" Target="https://www.macrotrends.net/global-metrics/countries/SLE/sierra-leone/tariff-rates" TargetMode="External"/><Relationship Id="rId23" Type="http://schemas.openxmlformats.org/officeDocument/2006/relationships/hyperlink" Target="https://www.macrotrends.net/global-metrics/countries/MDV/maldives/tariff-rates" TargetMode="External"/><Relationship Id="rId28" Type="http://schemas.openxmlformats.org/officeDocument/2006/relationships/hyperlink" Target="https://www.macrotrends.net/global-metrics/countries/PLW/palau/tariff-rates" TargetMode="External"/><Relationship Id="rId49" Type="http://schemas.openxmlformats.org/officeDocument/2006/relationships/hyperlink" Target="https://www.macrotrends.net/global-metrics/countries/ARG/argentina/tariff-rates" TargetMode="External"/><Relationship Id="rId114" Type="http://schemas.openxmlformats.org/officeDocument/2006/relationships/hyperlink" Target="https://www.macrotrends.net/global-metrics/countries/NLD/netherlands/tariff-rates" TargetMode="External"/><Relationship Id="rId119" Type="http://schemas.openxmlformats.org/officeDocument/2006/relationships/hyperlink" Target="https://www.macrotrends.net/global-metrics/countries/EST/estonia/tariff-rates" TargetMode="External"/><Relationship Id="rId44" Type="http://schemas.openxmlformats.org/officeDocument/2006/relationships/hyperlink" Target="https://www.macrotrends.net/global-metrics/countries/BRA/brazil/tariff-rates" TargetMode="External"/><Relationship Id="rId60" Type="http://schemas.openxmlformats.org/officeDocument/2006/relationships/hyperlink" Target="https://www.macrotrends.net/global-metrics/countries/ZMB/zambia/tariff-rates" TargetMode="External"/><Relationship Id="rId65" Type="http://schemas.openxmlformats.org/officeDocument/2006/relationships/hyperlink" Target="https://www.macrotrends.net/global-metrics/countries/LKA/sri-lanka/tariff-rates" TargetMode="External"/><Relationship Id="rId81" Type="http://schemas.openxmlformats.org/officeDocument/2006/relationships/hyperlink" Target="https://www.macrotrends.net/global-metrics/countries/KGZ/kyrgyz-republic/tariff-rates" TargetMode="External"/><Relationship Id="rId86" Type="http://schemas.openxmlformats.org/officeDocument/2006/relationships/hyperlink" Target="https://www.macrotrends.net/global-metrics/countries/BIH/bosnia/tariff-rates" TargetMode="External"/><Relationship Id="rId130" Type="http://schemas.openxmlformats.org/officeDocument/2006/relationships/hyperlink" Target="https://www.macrotrends.net/global-metrics/countries/SVN/slovenia/tariff-rates" TargetMode="External"/><Relationship Id="rId135" Type="http://schemas.openxmlformats.org/officeDocument/2006/relationships/hyperlink" Target="https://www.macrotrends.net/global-metrics/countries/MLT/malta/tariff-rates" TargetMode="External"/><Relationship Id="rId151" Type="http://schemas.openxmlformats.org/officeDocument/2006/relationships/hyperlink" Target="https://www.macrotrends.net/global-metrics/countries/PER/peru/tariff-rates" TargetMode="External"/><Relationship Id="rId156" Type="http://schemas.openxmlformats.org/officeDocument/2006/relationships/hyperlink" Target="https://www.macrotrends.net/global-metrics/countries/SGP/singapore/tariff-rates" TargetMode="External"/><Relationship Id="rId177" Type="http://schemas.openxmlformats.org/officeDocument/2006/relationships/hyperlink" Target="https://www.macrotrends.net/global-metrics/countries/GRD/grenada/tariff-rates" TargetMode="External"/><Relationship Id="rId172" Type="http://schemas.openxmlformats.org/officeDocument/2006/relationships/hyperlink" Target="https://www.macrotrends.net/global-metrics/countries/CAF/central-african-republic/tariff-rates" TargetMode="External"/><Relationship Id="rId13" Type="http://schemas.openxmlformats.org/officeDocument/2006/relationships/hyperlink" Target="https://www.macrotrends.net/global-metrics/countries/NGA/nigeria/tariff-rates" TargetMode="External"/><Relationship Id="rId18" Type="http://schemas.openxmlformats.org/officeDocument/2006/relationships/hyperlink" Target="https://www.macrotrends.net/global-metrics/countries/AGO/angola/tariff-rates" TargetMode="External"/><Relationship Id="rId39" Type="http://schemas.openxmlformats.org/officeDocument/2006/relationships/hyperlink" Target="https://www.macrotrends.net/global-metrics/countries/NER/niger/tariff-rates" TargetMode="External"/><Relationship Id="rId109" Type="http://schemas.openxmlformats.org/officeDocument/2006/relationships/hyperlink" Target="https://www.macrotrends.net/global-metrics/countries/USA/united-states/tariff-rates" TargetMode="External"/><Relationship Id="rId34" Type="http://schemas.openxmlformats.org/officeDocument/2006/relationships/hyperlink" Target="https://www.macrotrends.net/global-metrics/countries/TTO/trinidad-and-tobago/tariff-rates" TargetMode="External"/><Relationship Id="rId50" Type="http://schemas.openxmlformats.org/officeDocument/2006/relationships/hyperlink" Target="https://www.macrotrends.net/global-metrics/countries/PAN/panama/tariff-rates" TargetMode="External"/><Relationship Id="rId55" Type="http://schemas.openxmlformats.org/officeDocument/2006/relationships/hyperlink" Target="https://www.macrotrends.net/global-metrics/countries/KHM/cambodia/tariff-rates" TargetMode="External"/><Relationship Id="rId76" Type="http://schemas.openxmlformats.org/officeDocument/2006/relationships/hyperlink" Target="https://www.macrotrends.net/global-metrics/countries/LSO/lesotho/tariff-rates" TargetMode="External"/><Relationship Id="rId97" Type="http://schemas.openxmlformats.org/officeDocument/2006/relationships/hyperlink" Target="https://www.macrotrends.net/global-metrics/countries/SWZ/eswatini/tariff-rates" TargetMode="External"/><Relationship Id="rId104" Type="http://schemas.openxmlformats.org/officeDocument/2006/relationships/hyperlink" Target="https://www.macrotrends.net/global-metrics/countries/PHL/philippines/tariff-rates" TargetMode="External"/><Relationship Id="rId120" Type="http://schemas.openxmlformats.org/officeDocument/2006/relationships/hyperlink" Target="https://www.macrotrends.net/global-metrics/countries/DEU/germany/tariff-rates" TargetMode="External"/><Relationship Id="rId125" Type="http://schemas.openxmlformats.org/officeDocument/2006/relationships/hyperlink" Target="https://www.macrotrends.net/global-metrics/countries/LUX/luxembourg/tariff-rates" TargetMode="External"/><Relationship Id="rId141" Type="http://schemas.openxmlformats.org/officeDocument/2006/relationships/hyperlink" Target="https://www.macrotrends.net/global-metrics/countries/MDA/moldova/tariff-rates" TargetMode="External"/><Relationship Id="rId146" Type="http://schemas.openxmlformats.org/officeDocument/2006/relationships/hyperlink" Target="https://www.macrotrends.net/global-metrics/countries/MMR/myanmar/tariff-rates" TargetMode="External"/><Relationship Id="rId167" Type="http://schemas.openxmlformats.org/officeDocument/2006/relationships/hyperlink" Target="https://www.macrotrends.net/global-metrics/countries/WSM/samoa/tariff-rates" TargetMode="External"/><Relationship Id="rId7" Type="http://schemas.openxmlformats.org/officeDocument/2006/relationships/hyperlink" Target="https://www.macrotrends.net/global-metrics/countries/NRU/nauru/tariff-rates" TargetMode="External"/><Relationship Id="rId71" Type="http://schemas.openxmlformats.org/officeDocument/2006/relationships/hyperlink" Target="https://www.macrotrends.net/global-metrics/countries/DOM/dominican-republic/tariff-rates" TargetMode="External"/><Relationship Id="rId92" Type="http://schemas.openxmlformats.org/officeDocument/2006/relationships/hyperlink" Target="https://www.macrotrends.net/global-metrics/countries/CAN/canada/tariff-rates" TargetMode="External"/><Relationship Id="rId162" Type="http://schemas.openxmlformats.org/officeDocument/2006/relationships/hyperlink" Target="https://www.macrotrends.net/global-metrics/countries/SAU/saudi-arabia/tariff-rates" TargetMode="External"/><Relationship Id="rId2" Type="http://schemas.openxmlformats.org/officeDocument/2006/relationships/hyperlink" Target="https://www.macrotrends.net/global-metrics/countries/CYM/cayman-islands/tariff-rates" TargetMode="External"/><Relationship Id="rId29" Type="http://schemas.openxmlformats.org/officeDocument/2006/relationships/hyperlink" Target="https://www.macrotrends.net/global-metrics/countries/KEN/kenya/tariff-rates" TargetMode="External"/><Relationship Id="rId24" Type="http://schemas.openxmlformats.org/officeDocument/2006/relationships/hyperlink" Target="https://www.macrotrends.net/global-metrics/countries/GHA/ghana/tariff-rates" TargetMode="External"/><Relationship Id="rId40" Type="http://schemas.openxmlformats.org/officeDocument/2006/relationships/hyperlink" Target="https://www.macrotrends.net/global-metrics/countries/SUR/suriname/tariff-rates" TargetMode="External"/><Relationship Id="rId45" Type="http://schemas.openxmlformats.org/officeDocument/2006/relationships/hyperlink" Target="https://www.macrotrends.net/global-metrics/countries/MDG/madagascar/tariff-rates" TargetMode="External"/><Relationship Id="rId66" Type="http://schemas.openxmlformats.org/officeDocument/2006/relationships/hyperlink" Target="https://www.macrotrends.net/global-metrics/countries/COM/comoros/tariff-rates" TargetMode="External"/><Relationship Id="rId87" Type="http://schemas.openxmlformats.org/officeDocument/2006/relationships/hyperlink" Target="https://www.macrotrends.net/global-metrics/countries/ARE/uae/tariff-rates" TargetMode="External"/><Relationship Id="rId110" Type="http://schemas.openxmlformats.org/officeDocument/2006/relationships/hyperlink" Target="https://www.macrotrends.net/global-metrics/countries/CRI/costa-rica/tariff-rates" TargetMode="External"/><Relationship Id="rId115" Type="http://schemas.openxmlformats.org/officeDocument/2006/relationships/hyperlink" Target="https://www.macrotrends.net/global-metrics/countries/CYP/cyprus/tariff-rates" TargetMode="External"/><Relationship Id="rId131" Type="http://schemas.openxmlformats.org/officeDocument/2006/relationships/hyperlink" Target="https://www.macrotrends.net/global-metrics/countries/DNK/denmark/tariff-rates" TargetMode="External"/><Relationship Id="rId136" Type="http://schemas.openxmlformats.org/officeDocument/2006/relationships/hyperlink" Target="https://www.macrotrends.net/global-metrics/countries/GRC/greece/tariff-rates" TargetMode="External"/><Relationship Id="rId157" Type="http://schemas.openxmlformats.org/officeDocument/2006/relationships/hyperlink" Target="https://www.macrotrends.net/global-metrics/countries/LCA/st-lucia/tariff-rates" TargetMode="External"/><Relationship Id="rId178" Type="http://schemas.openxmlformats.org/officeDocument/2006/relationships/hyperlink" Target="https://www.macrotrends.net/global-metrics/countries/GAB/gabon/tariff-rates" TargetMode="External"/><Relationship Id="rId61" Type="http://schemas.openxmlformats.org/officeDocument/2006/relationships/hyperlink" Target="https://www.macrotrends.net/global-metrics/countries/GUY/guyana/tariff-rates" TargetMode="External"/><Relationship Id="rId82" Type="http://schemas.openxmlformats.org/officeDocument/2006/relationships/hyperlink" Target="https://www.macrotrends.net/global-metrics/countries/NOR/norway/tariff-rates" TargetMode="External"/><Relationship Id="rId152" Type="http://schemas.openxmlformats.org/officeDocument/2006/relationships/hyperlink" Target="https://www.macrotrends.net/global-metrics/countries/CHL/chile/tariff-rates" TargetMode="External"/><Relationship Id="rId173" Type="http://schemas.openxmlformats.org/officeDocument/2006/relationships/hyperlink" Target="https://www.macrotrends.net/global-metrics/countries/JOR/jordan/tariff-rates" TargetMode="External"/><Relationship Id="rId19" Type="http://schemas.openxmlformats.org/officeDocument/2006/relationships/hyperlink" Target="https://www.macrotrends.net/global-metrics/countries/VUT/vanuatu/tariff-rates" TargetMode="External"/><Relationship Id="rId14" Type="http://schemas.openxmlformats.org/officeDocument/2006/relationships/hyperlink" Target="https://www.macrotrends.net/global-metrics/countries/NPL/nepal/tariff-rates" TargetMode="External"/><Relationship Id="rId30" Type="http://schemas.openxmlformats.org/officeDocument/2006/relationships/hyperlink" Target="https://www.macrotrends.net/global-metrics/countries/VCT/st-vincent-and-the-grenadines/tariff-rates" TargetMode="External"/><Relationship Id="rId35" Type="http://schemas.openxmlformats.org/officeDocument/2006/relationships/hyperlink" Target="https://www.macrotrends.net/global-metrics/countries/TZA/tanzania/tariff-rates" TargetMode="External"/><Relationship Id="rId56" Type="http://schemas.openxmlformats.org/officeDocument/2006/relationships/hyperlink" Target="https://www.macrotrends.net/global-metrics/countries/MNG/mongolia/tariff-rates" TargetMode="External"/><Relationship Id="rId77" Type="http://schemas.openxmlformats.org/officeDocument/2006/relationships/hyperlink" Target="https://www.macrotrends.net/global-metrics/countries/BTN/bhutan/tariff-rates" TargetMode="External"/><Relationship Id="rId100" Type="http://schemas.openxmlformats.org/officeDocument/2006/relationships/hyperlink" Target="https://www.macrotrends.net/global-metrics/countries/NIC/nicaragua/tariff-rates" TargetMode="External"/><Relationship Id="rId105" Type="http://schemas.openxmlformats.org/officeDocument/2006/relationships/hyperlink" Target="https://www.macrotrends.net/global-metrics/countries/GTM/guatemala/tariff-rates" TargetMode="External"/><Relationship Id="rId126" Type="http://schemas.openxmlformats.org/officeDocument/2006/relationships/hyperlink" Target="https://www.macrotrends.net/global-metrics/countries/SVK/slovak-republic/tariff-rates" TargetMode="External"/><Relationship Id="rId147" Type="http://schemas.openxmlformats.org/officeDocument/2006/relationships/hyperlink" Target="https://www.macrotrends.net/global-metrics/countries/BWA/botswana/tariff-rates" TargetMode="External"/><Relationship Id="rId168" Type="http://schemas.openxmlformats.org/officeDocument/2006/relationships/hyperlink" Target="https://www.macrotrends.net/global-metrics/countries/DMA/dominica/tariff-rates" TargetMode="External"/><Relationship Id="rId8" Type="http://schemas.openxmlformats.org/officeDocument/2006/relationships/hyperlink" Target="https://www.macrotrends.net/global-metrics/countries/VEN/venezuela/tariff-rates" TargetMode="External"/><Relationship Id="rId51" Type="http://schemas.openxmlformats.org/officeDocument/2006/relationships/hyperlink" Target="https://www.macrotrends.net/global-metrics/countries/AZE/azerbaijan/tariff-rates" TargetMode="External"/><Relationship Id="rId72" Type="http://schemas.openxmlformats.org/officeDocument/2006/relationships/hyperlink" Target="https://www.macrotrends.net/global-metrics/countries/MYS/malaysia/tariff-rates" TargetMode="External"/><Relationship Id="rId93" Type="http://schemas.openxmlformats.org/officeDocument/2006/relationships/hyperlink" Target="https://www.macrotrends.net/global-metrics/countries/CHN/china/tariff-rates" TargetMode="External"/><Relationship Id="rId98" Type="http://schemas.openxmlformats.org/officeDocument/2006/relationships/hyperlink" Target="https://www.macrotrends.net/global-metrics/countries/BHR/bahrain/tariff-rates" TargetMode="External"/><Relationship Id="rId121" Type="http://schemas.openxmlformats.org/officeDocument/2006/relationships/hyperlink" Target="https://www.macrotrends.net/global-metrics/countries/LTU/lithuania/tariff-rates" TargetMode="External"/><Relationship Id="rId142" Type="http://schemas.openxmlformats.org/officeDocument/2006/relationships/hyperlink" Target="https://www.macrotrends.net/global-metrics/countries/VNM/vietnam/tariff-rates" TargetMode="External"/><Relationship Id="rId163" Type="http://schemas.openxmlformats.org/officeDocument/2006/relationships/hyperlink" Target="https://www.macrotrends.net/global-metrics/countries/COD/democratic-republic-of-congo/tariff-rates" TargetMode="External"/><Relationship Id="rId3" Type="http://schemas.openxmlformats.org/officeDocument/2006/relationships/hyperlink" Target="https://www.macrotrends.net/global-metrics/countries/BLZ/belize/tariff-rates" TargetMode="External"/><Relationship Id="rId25" Type="http://schemas.openxmlformats.org/officeDocument/2006/relationships/hyperlink" Target="https://www.macrotrends.net/global-metrics/countries/DZA/algeria/tariff-rates" TargetMode="External"/><Relationship Id="rId46" Type="http://schemas.openxmlformats.org/officeDocument/2006/relationships/hyperlink" Target="https://www.macrotrends.net/global-metrics/countries/BFA/burkina-faso/tariff-rates" TargetMode="External"/><Relationship Id="rId67" Type="http://schemas.openxmlformats.org/officeDocument/2006/relationships/hyperlink" Target="https://www.macrotrends.net/global-metrics/countries/MAR/morocco/tariff-rates" TargetMode="External"/><Relationship Id="rId116" Type="http://schemas.openxmlformats.org/officeDocument/2006/relationships/hyperlink" Target="https://www.macrotrends.net/global-metrics/countries/ESP/spain/tariff-rates" TargetMode="External"/><Relationship Id="rId137" Type="http://schemas.openxmlformats.org/officeDocument/2006/relationships/hyperlink" Target="https://www.macrotrends.net/global-metrics/countries/AUT/austria/tariff-rates" TargetMode="External"/><Relationship Id="rId158" Type="http://schemas.openxmlformats.org/officeDocument/2006/relationships/hyperlink" Target="https://www.macrotrends.net/global-metrics/countries/SYR/syrian-arab-republic/tariff-rates" TargetMode="External"/><Relationship Id="rId20" Type="http://schemas.openxmlformats.org/officeDocument/2006/relationships/hyperlink" Target="https://www.macrotrends.net/global-metrics/countries/BGD/bangladesh/tariff-rates" TargetMode="External"/><Relationship Id="rId41" Type="http://schemas.openxmlformats.org/officeDocument/2006/relationships/hyperlink" Target="https://www.macrotrends.net/global-metrics/countries/FJI/fiji/tariff-rates" TargetMode="External"/><Relationship Id="rId62" Type="http://schemas.openxmlformats.org/officeDocument/2006/relationships/hyperlink" Target="https://www.macrotrends.net/global-metrics/countries/ECU/ecuador/tariff-rates" TargetMode="External"/><Relationship Id="rId83" Type="http://schemas.openxmlformats.org/officeDocument/2006/relationships/hyperlink" Target="https://www.macrotrends.net/global-metrics/countries/ISR/israel/tariff-rates" TargetMode="External"/><Relationship Id="rId88" Type="http://schemas.openxmlformats.org/officeDocument/2006/relationships/hyperlink" Target="https://www.macrotrends.net/global-metrics/countries/COL/colombia/tariff-rates" TargetMode="External"/><Relationship Id="rId111" Type="http://schemas.openxmlformats.org/officeDocument/2006/relationships/hyperlink" Target="https://www.macrotrends.net/global-metrics/countries/CHE/switzerland/tariff-rates" TargetMode="External"/><Relationship Id="rId132" Type="http://schemas.openxmlformats.org/officeDocument/2006/relationships/hyperlink" Target="https://www.macrotrends.net/global-metrics/countries/FRA/france/tariff-rates" TargetMode="External"/><Relationship Id="rId153" Type="http://schemas.openxmlformats.org/officeDocument/2006/relationships/hyperlink" Target="https://www.macrotrends.net/global-metrics/countries/GEO/georgia/tariff-rates" TargetMode="External"/><Relationship Id="rId174" Type="http://schemas.openxmlformats.org/officeDocument/2006/relationships/hyperlink" Target="https://www.macrotrends.net/global-metrics/countries/PSE/west-bank-and-gaza/tariff-rates" TargetMode="External"/><Relationship Id="rId179" Type="http://schemas.openxmlformats.org/officeDocument/2006/relationships/hyperlink" Target="https://www.macrotrends.net/global-metrics/countries/EGY/egypt/tariff-rates" TargetMode="External"/><Relationship Id="rId15" Type="http://schemas.openxmlformats.org/officeDocument/2006/relationships/hyperlink" Target="https://www.macrotrends.net/global-metrics/countries/RWA/rwanda/tariff-rates" TargetMode="External"/><Relationship Id="rId36" Type="http://schemas.openxmlformats.org/officeDocument/2006/relationships/hyperlink" Target="https://www.macrotrends.net/global-metrics/countries/UGA/uganda/tariff-rates" TargetMode="External"/><Relationship Id="rId57" Type="http://schemas.openxmlformats.org/officeDocument/2006/relationships/hyperlink" Target="https://www.macrotrends.net/global-metrics/countries/URY/uruguay/tariff-rates" TargetMode="External"/><Relationship Id="rId106" Type="http://schemas.openxmlformats.org/officeDocument/2006/relationships/hyperlink" Target="https://www.macrotrends.net/global-metrics/countries/SRB/serbia/tariff-rates" TargetMode="External"/><Relationship Id="rId127" Type="http://schemas.openxmlformats.org/officeDocument/2006/relationships/hyperlink" Target="https://www.macrotrends.net/global-metrics/countries/ITA/italy/tariff-rates" TargetMode="External"/><Relationship Id="rId10" Type="http://schemas.openxmlformats.org/officeDocument/2006/relationships/hyperlink" Target="https://www.macrotrends.net/global-metrics/countries/ETH/ethiopia/tariff-rates" TargetMode="External"/><Relationship Id="rId31" Type="http://schemas.openxmlformats.org/officeDocument/2006/relationships/hyperlink" Target="https://www.macrotrends.net/global-metrics/countries/PAK/pakistan/tariff-rates" TargetMode="External"/><Relationship Id="rId52" Type="http://schemas.openxmlformats.org/officeDocument/2006/relationships/hyperlink" Target="https://www.macrotrends.net/global-metrics/countries/MWI/malawi/tariff-rates" TargetMode="External"/><Relationship Id="rId73" Type="http://schemas.openxmlformats.org/officeDocument/2006/relationships/hyperlink" Target="https://www.macrotrends.net/global-metrics/countries/ARM/armenia/tariff-rates" TargetMode="External"/><Relationship Id="rId78" Type="http://schemas.openxmlformats.org/officeDocument/2006/relationships/hyperlink" Target="https://www.macrotrends.net/global-metrics/countries/TUR/turkey/tariff-rates" TargetMode="External"/><Relationship Id="rId94" Type="http://schemas.openxmlformats.org/officeDocument/2006/relationships/hyperlink" Target="https://www.macrotrends.net/global-metrics/countries/TJK/tajikistan/tariff-rates" TargetMode="External"/><Relationship Id="rId99" Type="http://schemas.openxmlformats.org/officeDocument/2006/relationships/hyperlink" Target="https://www.macrotrends.net/global-metrics/countries/OMN/oman/tariff-rates" TargetMode="External"/><Relationship Id="rId101" Type="http://schemas.openxmlformats.org/officeDocument/2006/relationships/hyperlink" Target="https://www.macrotrends.net/global-metrics/countries/SLV/el-salvador/tariff-rates" TargetMode="External"/><Relationship Id="rId122" Type="http://schemas.openxmlformats.org/officeDocument/2006/relationships/hyperlink" Target="https://www.macrotrends.net/global-metrics/countries/BGR/bulgaria/tariff-rates" TargetMode="External"/><Relationship Id="rId143" Type="http://schemas.openxmlformats.org/officeDocument/2006/relationships/hyperlink" Target="https://www.macrotrends.net/global-metrics/countries/ALB/albania/tariff-rates" TargetMode="External"/><Relationship Id="rId148" Type="http://schemas.openxmlformats.org/officeDocument/2006/relationships/hyperlink" Target="https://www.macrotrends.net/global-metrics/countries/NZL/new-zealand/tariff-rates" TargetMode="External"/><Relationship Id="rId164" Type="http://schemas.openxmlformats.org/officeDocument/2006/relationships/hyperlink" Target="https://www.macrotrends.net/global-metrics/countries/STP/sao-tome-and-principe/tariff-rates" TargetMode="External"/><Relationship Id="rId169" Type="http://schemas.openxmlformats.org/officeDocument/2006/relationships/hyperlink" Target="https://www.macrotrends.net/global-metrics/countries/HTI/haiti/tariff-rates" TargetMode="External"/><Relationship Id="rId4" Type="http://schemas.openxmlformats.org/officeDocument/2006/relationships/hyperlink" Target="https://www.macrotrends.net/global-metrics/countries/GMB/gambia/tariff-rates" TargetMode="External"/><Relationship Id="rId9" Type="http://schemas.openxmlformats.org/officeDocument/2006/relationships/hyperlink" Target="https://www.macrotrends.net/global-metrics/countries/ATG/antigua-and-barbuda/tariff-rates" TargetMode="External"/><Relationship Id="rId180" Type="http://schemas.openxmlformats.org/officeDocument/2006/relationships/printerSettings" Target="../printerSettings/printerSettings3.bin"/><Relationship Id="rId26" Type="http://schemas.openxmlformats.org/officeDocument/2006/relationships/hyperlink" Target="https://www.macrotrends.net/global-metrics/countries/CPV/cabo-verde/tariff-rates" TargetMode="External"/><Relationship Id="rId47" Type="http://schemas.openxmlformats.org/officeDocument/2006/relationships/hyperlink" Target="https://www.macrotrends.net/global-metrics/countries/LBR/liberia/tariff-rates" TargetMode="External"/><Relationship Id="rId68" Type="http://schemas.openxmlformats.org/officeDocument/2006/relationships/hyperlink" Target="https://www.macrotrends.net/global-metrics/countries/MOZ/mozambique/tariff-rates" TargetMode="External"/><Relationship Id="rId89" Type="http://schemas.openxmlformats.org/officeDocument/2006/relationships/hyperlink" Target="https://www.macrotrends.net/global-metrics/countries/UZB/uzbekistan/tariff-rates" TargetMode="External"/><Relationship Id="rId112" Type="http://schemas.openxmlformats.org/officeDocument/2006/relationships/hyperlink" Target="https://www.macrotrends.net/global-metrics/countries/BEL/belgium/tariff-rates" TargetMode="External"/><Relationship Id="rId133" Type="http://schemas.openxmlformats.org/officeDocument/2006/relationships/hyperlink" Target="https://www.macrotrends.net/global-metrics/countries/HUN/hungary/tariff-rates" TargetMode="External"/><Relationship Id="rId154" Type="http://schemas.openxmlformats.org/officeDocument/2006/relationships/hyperlink" Target="https://www.macrotrends.net/global-metrics/countries/BRN/brunei/tariff-rates" TargetMode="External"/><Relationship Id="rId175" Type="http://schemas.openxmlformats.org/officeDocument/2006/relationships/hyperlink" Target="https://www.macrotrends.net/global-metrics/countries/LBN/lebanon/tariff-rates" TargetMode="External"/><Relationship Id="rId16" Type="http://schemas.openxmlformats.org/officeDocument/2006/relationships/hyperlink" Target="https://www.macrotrends.net/global-metrics/countries/GNB/guinea-bissau/tariff-rates" TargetMode="External"/><Relationship Id="rId37" Type="http://schemas.openxmlformats.org/officeDocument/2006/relationships/hyperlink" Target="https://www.macrotrends.net/global-metrics/countries/JAM/jamaica/tariff-rates" TargetMode="External"/><Relationship Id="rId58" Type="http://schemas.openxmlformats.org/officeDocument/2006/relationships/hyperlink" Target="https://www.macrotrends.net/global-metrics/countries/BOL/bolivia/tariff-rates" TargetMode="External"/><Relationship Id="rId79" Type="http://schemas.openxmlformats.org/officeDocument/2006/relationships/hyperlink" Target="https://www.macrotrends.net/global-metrics/countries/MNE/montenegro/tariff-rates" TargetMode="External"/><Relationship Id="rId102" Type="http://schemas.openxmlformats.org/officeDocument/2006/relationships/hyperlink" Target="https://www.macrotrends.net/global-metrics/countries/JPN/japan/tariff-rates" TargetMode="External"/><Relationship Id="rId123" Type="http://schemas.openxmlformats.org/officeDocument/2006/relationships/hyperlink" Target="https://www.macrotrends.net/global-metrics/countries/FIN/finland/tariff-rates" TargetMode="External"/><Relationship Id="rId144" Type="http://schemas.openxmlformats.org/officeDocument/2006/relationships/hyperlink" Target="https://www.macrotrends.net/global-metrics/countries/LAO/lao-pdr/tariff-rates" TargetMode="External"/><Relationship Id="rId90" Type="http://schemas.openxmlformats.org/officeDocument/2006/relationships/hyperlink" Target="https://www.macrotrends.net/global-metrics/countries/TLS/timor-leste/tariff-rates" TargetMode="External"/><Relationship Id="rId165" Type="http://schemas.openxmlformats.org/officeDocument/2006/relationships/hyperlink" Target="https://www.macrotrends.net/global-metrics/countries/MEX/mexico/tariff-rates" TargetMode="External"/><Relationship Id="rId27" Type="http://schemas.openxmlformats.org/officeDocument/2006/relationships/hyperlink" Target="https://www.macrotrends.net/global-metrics/countries/ABW/aruba/tariff-rates" TargetMode="External"/><Relationship Id="rId48" Type="http://schemas.openxmlformats.org/officeDocument/2006/relationships/hyperlink" Target="https://www.macrotrends.net/global-metrics/countries/TON/tonga/tariff-rates" TargetMode="External"/><Relationship Id="rId69" Type="http://schemas.openxmlformats.org/officeDocument/2006/relationships/hyperlink" Target="https://www.macrotrends.net/global-metrics/countries/RUS/russia/tariff-rates" TargetMode="External"/><Relationship Id="rId113" Type="http://schemas.openxmlformats.org/officeDocument/2006/relationships/hyperlink" Target="https://www.macrotrends.net/global-metrics/countries/IRL/ireland/tariff-rates" TargetMode="External"/><Relationship Id="rId134" Type="http://schemas.openxmlformats.org/officeDocument/2006/relationships/hyperlink" Target="https://www.macrotrends.net/global-metrics/countries/SWE/sweden/tariff-rates" TargetMode="External"/><Relationship Id="rId80" Type="http://schemas.openxmlformats.org/officeDocument/2006/relationships/hyperlink" Target="https://www.macrotrends.net/global-metrics/countries/THA/thailand/tariff-rates" TargetMode="External"/><Relationship Id="rId155" Type="http://schemas.openxmlformats.org/officeDocument/2006/relationships/hyperlink" Target="https://www.macrotrends.net/global-metrics/countries/SDN/sudan/tariff-rates" TargetMode="External"/><Relationship Id="rId176" Type="http://schemas.openxmlformats.org/officeDocument/2006/relationships/hyperlink" Target="https://www.macrotrends.net/global-metrics/countries/AFG/afghanistan/tariff-rates" TargetMode="External"/><Relationship Id="rId17" Type="http://schemas.openxmlformats.org/officeDocument/2006/relationships/hyperlink" Target="https://www.macrotrends.net/global-metrics/countries/ZWE/zimbabwe/tariff-rates" TargetMode="External"/><Relationship Id="rId38" Type="http://schemas.openxmlformats.org/officeDocument/2006/relationships/hyperlink" Target="https://www.macrotrends.net/global-metrics/countries/BDI/burundi/tariff-rates" TargetMode="External"/><Relationship Id="rId59" Type="http://schemas.openxmlformats.org/officeDocument/2006/relationships/hyperlink" Target="https://www.macrotrends.net/global-metrics/countries/KOR/south-korea/tariff-rates" TargetMode="External"/><Relationship Id="rId103" Type="http://schemas.openxmlformats.org/officeDocument/2006/relationships/hyperlink" Target="https://www.macrotrends.net/global-metrics/countries/IDN/indonesia/tariff-rates" TargetMode="External"/><Relationship Id="rId124" Type="http://schemas.openxmlformats.org/officeDocument/2006/relationships/hyperlink" Target="https://www.macrotrends.net/global-metrics/countries/HRV/croatia/tariff-rates" TargetMode="External"/><Relationship Id="rId70" Type="http://schemas.openxmlformats.org/officeDocument/2006/relationships/hyperlink" Target="https://www.macrotrends.net/global-metrics/countries/LBY/libya/tariff-rates" TargetMode="External"/><Relationship Id="rId91" Type="http://schemas.openxmlformats.org/officeDocument/2006/relationships/hyperlink" Target="https://www.macrotrends.net/global-metrics/countries/MKD/north-macedonia/tariff-rates" TargetMode="External"/><Relationship Id="rId145" Type="http://schemas.openxmlformats.org/officeDocument/2006/relationships/hyperlink" Target="https://www.macrotrends.net/global-metrics/countries/SYC/seychelles/tariff-rates" TargetMode="External"/><Relationship Id="rId166" Type="http://schemas.openxmlformats.org/officeDocument/2006/relationships/hyperlink" Target="https://www.macrotrends.net/global-metrics/countries/KNA/st-kitts-and-nevis/tariff-rates" TargetMode="External"/><Relationship Id="rId1" Type="http://schemas.openxmlformats.org/officeDocument/2006/relationships/hyperlink" Target="https://www.macrotrends.net/global-metrics/countries/BMU/bermuda/tariff-rates" TargetMode="Externa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EB7923-D2C0-45FE-8EF3-83A6BAB91503}">
  <dimension ref="A1:E6"/>
  <sheetViews>
    <sheetView workbookViewId="0">
      <selection activeCell="I6" sqref="I6"/>
    </sheetView>
  </sheetViews>
  <sheetFormatPr baseColWidth="10" defaultColWidth="8.83203125" defaultRowHeight="15" x14ac:dyDescent="0.2"/>
  <cols>
    <col min="1" max="1" width="11.1640625" bestFit="1" customWidth="1"/>
    <col min="2" max="2" width="28" customWidth="1"/>
    <col min="3" max="3" width="34.6640625" customWidth="1"/>
    <col min="4" max="4" width="22.1640625" customWidth="1"/>
    <col min="5" max="5" width="36.5" bestFit="1" customWidth="1"/>
  </cols>
  <sheetData>
    <row r="1" spans="1:5" x14ac:dyDescent="0.2">
      <c r="A1" s="44"/>
      <c r="B1" s="42" t="s">
        <v>0</v>
      </c>
      <c r="C1" s="43"/>
      <c r="D1" s="43"/>
      <c r="E1" s="43"/>
    </row>
    <row r="2" spans="1:5" x14ac:dyDescent="0.2">
      <c r="A2" s="44"/>
      <c r="B2" s="40" t="s">
        <v>1</v>
      </c>
      <c r="C2" s="40" t="s">
        <v>2</v>
      </c>
      <c r="D2" s="40" t="s">
        <v>3</v>
      </c>
      <c r="E2" s="40" t="s">
        <v>4</v>
      </c>
    </row>
    <row r="3" spans="1:5" ht="107.25" customHeight="1" x14ac:dyDescent="0.2">
      <c r="A3" s="41" t="s">
        <v>5</v>
      </c>
      <c r="B3" s="37" t="s">
        <v>6</v>
      </c>
      <c r="C3" s="37" t="s">
        <v>7</v>
      </c>
      <c r="D3" s="37" t="s">
        <v>8</v>
      </c>
      <c r="E3" s="37" t="s">
        <v>9</v>
      </c>
    </row>
    <row r="4" spans="1:5" x14ac:dyDescent="0.2">
      <c r="A4" s="41" t="s">
        <v>10</v>
      </c>
      <c r="B4">
        <v>0.4</v>
      </c>
      <c r="C4">
        <v>0.3</v>
      </c>
      <c r="D4">
        <v>0.2</v>
      </c>
      <c r="E4">
        <v>0.1</v>
      </c>
    </row>
    <row r="5" spans="1:5" ht="80" x14ac:dyDescent="0.2">
      <c r="A5" s="41" t="s">
        <v>11</v>
      </c>
      <c r="B5" s="36" t="s">
        <v>12</v>
      </c>
      <c r="C5" s="37" t="s">
        <v>13</v>
      </c>
      <c r="D5" s="38" t="s">
        <v>14</v>
      </c>
      <c r="E5" s="36" t="s">
        <v>15</v>
      </c>
    </row>
    <row r="6" spans="1:5" ht="112" x14ac:dyDescent="0.2">
      <c r="A6" s="41" t="s">
        <v>16</v>
      </c>
      <c r="B6" s="39" t="s">
        <v>17</v>
      </c>
      <c r="C6" s="39" t="s">
        <v>18</v>
      </c>
      <c r="D6" s="39" t="s">
        <v>19</v>
      </c>
      <c r="E6" s="39" t="s">
        <v>20</v>
      </c>
    </row>
  </sheetData>
  <mergeCells count="2">
    <mergeCell ref="B1:E1"/>
    <mergeCell ref="A1:A2"/>
  </mergeCells>
  <hyperlinks>
    <hyperlink ref="B6" r:id="rId1" xr:uid="{3DB8DE2C-93CE-47A9-A87A-DDA518C89709}"/>
    <hyperlink ref="E6" r:id="rId2" xr:uid="{6C74750D-F89C-4DEC-909C-7AD788F9A737}"/>
    <hyperlink ref="D6" r:id="rId3" xr:uid="{4616A42A-37B7-420D-A7ED-83286F6914B6}"/>
    <hyperlink ref="C6" r:id="rId4" xr:uid="{7C0A73DD-BFE6-4B51-92AE-A98B85344BB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2C235D-AA7D-4041-B4B1-BEFDBAD5AC92}">
  <dimension ref="A1:I66"/>
  <sheetViews>
    <sheetView zoomScale="85" workbookViewId="0">
      <selection activeCell="B2" sqref="B2"/>
    </sheetView>
  </sheetViews>
  <sheetFormatPr baseColWidth="10" defaultColWidth="8.83203125" defaultRowHeight="15" x14ac:dyDescent="0.2"/>
  <cols>
    <col min="1" max="1" width="26" customWidth="1"/>
    <col min="2" max="5" width="14.33203125" customWidth="1"/>
    <col min="6" max="7" width="14.5" customWidth="1"/>
    <col min="8" max="9" width="26" customWidth="1"/>
  </cols>
  <sheetData>
    <row r="1" spans="1:9" x14ac:dyDescent="0.2">
      <c r="B1" s="46"/>
      <c r="C1" s="46"/>
      <c r="D1" s="46"/>
      <c r="E1" s="46"/>
      <c r="F1" s="46"/>
      <c r="G1" s="46"/>
    </row>
    <row r="2" spans="1:9" ht="14.5" customHeight="1" x14ac:dyDescent="0.2">
      <c r="B2" s="19"/>
      <c r="F2" s="34"/>
      <c r="G2" s="33"/>
      <c r="H2" s="19"/>
    </row>
    <row r="3" spans="1:9" x14ac:dyDescent="0.2">
      <c r="C3" s="19"/>
      <c r="E3" s="19"/>
      <c r="G3" s="19"/>
      <c r="H3" s="19"/>
    </row>
    <row r="4" spans="1:9" x14ac:dyDescent="0.2">
      <c r="B4" s="3" t="s">
        <v>21</v>
      </c>
      <c r="C4" s="3" t="s">
        <v>22</v>
      </c>
      <c r="D4" s="3" t="s">
        <v>21</v>
      </c>
      <c r="E4" s="3" t="s">
        <v>22</v>
      </c>
      <c r="F4" s="3" t="s">
        <v>23</v>
      </c>
      <c r="G4" s="3" t="s">
        <v>24</v>
      </c>
    </row>
    <row r="5" spans="1:9" x14ac:dyDescent="0.2">
      <c r="A5" s="2" t="s">
        <v>25</v>
      </c>
      <c r="B5" s="45" t="s">
        <v>26</v>
      </c>
      <c r="C5" s="45"/>
      <c r="D5" s="45" t="s">
        <v>27</v>
      </c>
      <c r="E5" s="45"/>
      <c r="F5" s="45" t="s">
        <v>28</v>
      </c>
      <c r="G5" s="45"/>
      <c r="H5" s="2" t="s">
        <v>29</v>
      </c>
      <c r="I5" s="2" t="s">
        <v>30</v>
      </c>
    </row>
    <row r="6" spans="1:9" x14ac:dyDescent="0.2">
      <c r="A6" t="s">
        <v>31</v>
      </c>
      <c r="B6">
        <v>13</v>
      </c>
      <c r="C6">
        <v>1</v>
      </c>
      <c r="D6" s="35">
        <f>((21.3+226)/311)*100</f>
        <v>79.517684887459808</v>
      </c>
      <c r="E6">
        <v>4</v>
      </c>
      <c r="F6">
        <v>63</v>
      </c>
      <c r="G6">
        <v>4</v>
      </c>
      <c r="H6">
        <v>1</v>
      </c>
      <c r="I6">
        <f t="shared" ref="I6:I34" si="0">(C6*0.4)+(E6*0.3)+(G6*0.1)+(H6*0.2)</f>
        <v>2.2000000000000002</v>
      </c>
    </row>
    <row r="7" spans="1:9" x14ac:dyDescent="0.2">
      <c r="A7" t="s">
        <v>32</v>
      </c>
      <c r="B7">
        <v>8.4499999999999993</v>
      </c>
      <c r="C7">
        <v>1</v>
      </c>
      <c r="D7">
        <v>113.97</v>
      </c>
      <c r="E7">
        <v>5</v>
      </c>
      <c r="F7">
        <v>68</v>
      </c>
      <c r="G7">
        <v>5</v>
      </c>
      <c r="H7">
        <v>2</v>
      </c>
      <c r="I7">
        <f t="shared" si="0"/>
        <v>2.8</v>
      </c>
    </row>
    <row r="8" spans="1:9" x14ac:dyDescent="0.2">
      <c r="A8" t="s">
        <v>33</v>
      </c>
      <c r="B8">
        <v>3.41</v>
      </c>
      <c r="C8">
        <v>3</v>
      </c>
      <c r="D8">
        <v>73.86</v>
      </c>
      <c r="E8">
        <v>4</v>
      </c>
      <c r="F8">
        <v>52.49</v>
      </c>
      <c r="G8">
        <v>3</v>
      </c>
      <c r="H8">
        <v>2</v>
      </c>
      <c r="I8">
        <f t="shared" si="0"/>
        <v>3.1</v>
      </c>
    </row>
    <row r="9" spans="1:9" x14ac:dyDescent="0.2">
      <c r="A9" t="s">
        <v>34</v>
      </c>
      <c r="B9">
        <v>4.8099999999999996</v>
      </c>
      <c r="C9">
        <v>2</v>
      </c>
      <c r="D9">
        <v>58.31</v>
      </c>
      <c r="E9">
        <v>3</v>
      </c>
      <c r="F9">
        <v>54.03</v>
      </c>
      <c r="G9">
        <v>3</v>
      </c>
      <c r="H9">
        <v>3</v>
      </c>
      <c r="I9">
        <f t="shared" si="0"/>
        <v>2.6</v>
      </c>
    </row>
    <row r="10" spans="1:9" x14ac:dyDescent="0.2">
      <c r="A10" t="s">
        <v>35</v>
      </c>
      <c r="B10">
        <v>13.82</v>
      </c>
      <c r="C10">
        <v>1</v>
      </c>
      <c r="D10">
        <v>99.48</v>
      </c>
      <c r="E10">
        <v>5</v>
      </c>
      <c r="F10">
        <v>47.78</v>
      </c>
      <c r="G10">
        <v>3</v>
      </c>
      <c r="H10">
        <v>3</v>
      </c>
      <c r="I10">
        <f t="shared" si="0"/>
        <v>2.8000000000000003</v>
      </c>
    </row>
    <row r="11" spans="1:9" x14ac:dyDescent="0.2">
      <c r="A11" t="s">
        <v>36</v>
      </c>
      <c r="B11">
        <v>39.9</v>
      </c>
      <c r="C11">
        <v>1</v>
      </c>
      <c r="D11">
        <v>58.89</v>
      </c>
      <c r="E11">
        <v>3</v>
      </c>
      <c r="F11">
        <v>67.5</v>
      </c>
      <c r="G11">
        <v>5</v>
      </c>
      <c r="H11">
        <v>1</v>
      </c>
      <c r="I11">
        <f t="shared" si="0"/>
        <v>1.9999999999999998</v>
      </c>
    </row>
    <row r="12" spans="1:9" x14ac:dyDescent="0.2">
      <c r="A12" t="s">
        <v>37</v>
      </c>
      <c r="B12">
        <v>0</v>
      </c>
      <c r="C12">
        <v>5</v>
      </c>
      <c r="D12" s="35">
        <f>((281+857)/1028)*100</f>
        <v>110.70038910505838</v>
      </c>
      <c r="E12">
        <v>5</v>
      </c>
      <c r="F12">
        <v>65</v>
      </c>
      <c r="G12">
        <v>4</v>
      </c>
      <c r="H12">
        <v>1</v>
      </c>
      <c r="I12">
        <f t="shared" si="0"/>
        <v>4.0999999999999996</v>
      </c>
    </row>
    <row r="13" spans="1:9" x14ac:dyDescent="0.2">
      <c r="A13" t="s">
        <v>38</v>
      </c>
      <c r="B13">
        <v>4.08</v>
      </c>
      <c r="C13">
        <v>2</v>
      </c>
      <c r="D13">
        <v>44.06</v>
      </c>
      <c r="E13">
        <v>2</v>
      </c>
      <c r="F13">
        <v>66</v>
      </c>
      <c r="G13">
        <v>4</v>
      </c>
      <c r="H13">
        <v>1</v>
      </c>
      <c r="I13">
        <f t="shared" si="0"/>
        <v>1.9999999999999998</v>
      </c>
    </row>
    <row r="14" spans="1:9" x14ac:dyDescent="0.2">
      <c r="A14" t="s">
        <v>39</v>
      </c>
      <c r="B14">
        <v>1.27</v>
      </c>
      <c r="C14">
        <v>5</v>
      </c>
      <c r="D14">
        <v>69.33</v>
      </c>
      <c r="E14">
        <v>3</v>
      </c>
      <c r="F14">
        <v>55.94</v>
      </c>
      <c r="G14">
        <v>4</v>
      </c>
      <c r="H14">
        <v>3</v>
      </c>
      <c r="I14">
        <f t="shared" si="0"/>
        <v>3.9</v>
      </c>
    </row>
    <row r="15" spans="1:9" x14ac:dyDescent="0.2">
      <c r="A15" t="s">
        <v>40</v>
      </c>
      <c r="B15">
        <v>6.69</v>
      </c>
      <c r="C15">
        <v>1</v>
      </c>
      <c r="D15">
        <v>41.46</v>
      </c>
      <c r="E15">
        <v>1</v>
      </c>
      <c r="F15">
        <v>48.8</v>
      </c>
      <c r="G15">
        <v>2</v>
      </c>
      <c r="H15">
        <v>2</v>
      </c>
      <c r="I15">
        <f t="shared" si="0"/>
        <v>1.2999999999999998</v>
      </c>
    </row>
    <row r="16" spans="1:9" x14ac:dyDescent="0.2">
      <c r="A16" t="s">
        <v>41</v>
      </c>
      <c r="B16">
        <v>0</v>
      </c>
      <c r="C16">
        <v>5</v>
      </c>
      <c r="D16" s="35">
        <f>((370+1210)/3281)*100</f>
        <v>48.156049984760749</v>
      </c>
      <c r="E16">
        <v>2</v>
      </c>
      <c r="F16">
        <v>64</v>
      </c>
      <c r="G16">
        <v>4</v>
      </c>
      <c r="H16">
        <v>2</v>
      </c>
      <c r="I16">
        <f t="shared" si="0"/>
        <v>3.4</v>
      </c>
    </row>
    <row r="17" spans="1:9" x14ac:dyDescent="0.2">
      <c r="A17" t="s">
        <v>42</v>
      </c>
      <c r="B17">
        <v>3.23</v>
      </c>
      <c r="C17">
        <v>3</v>
      </c>
      <c r="D17" s="35">
        <f>((47.6+458)/654)*100</f>
        <v>77.308868501529062</v>
      </c>
      <c r="E17">
        <v>4</v>
      </c>
      <c r="F17">
        <v>52.58</v>
      </c>
      <c r="G17">
        <v>3</v>
      </c>
      <c r="H17">
        <v>3</v>
      </c>
      <c r="I17">
        <f t="shared" si="0"/>
        <v>3.3000000000000003</v>
      </c>
    </row>
    <row r="18" spans="1:9" x14ac:dyDescent="0.2">
      <c r="A18" t="s">
        <v>43</v>
      </c>
      <c r="B18">
        <v>3.22</v>
      </c>
      <c r="C18">
        <v>3</v>
      </c>
      <c r="D18">
        <v>50.38</v>
      </c>
      <c r="E18">
        <v>2</v>
      </c>
      <c r="F18">
        <v>49.51</v>
      </c>
      <c r="G18">
        <v>2</v>
      </c>
      <c r="H18">
        <v>3</v>
      </c>
      <c r="I18">
        <f t="shared" si="0"/>
        <v>2.6000000000000005</v>
      </c>
    </row>
    <row r="19" spans="1:9" x14ac:dyDescent="0.2">
      <c r="A19" t="s">
        <v>44</v>
      </c>
      <c r="B19">
        <v>1.97</v>
      </c>
      <c r="C19">
        <v>4</v>
      </c>
      <c r="D19">
        <f>0.7868*100</f>
        <v>78.680000000000007</v>
      </c>
      <c r="E19">
        <v>4</v>
      </c>
      <c r="F19">
        <v>44.34</v>
      </c>
      <c r="G19">
        <v>1</v>
      </c>
      <c r="H19">
        <v>3</v>
      </c>
      <c r="I19">
        <f t="shared" si="0"/>
        <v>3.5</v>
      </c>
    </row>
    <row r="20" spans="1:9" x14ac:dyDescent="0.2">
      <c r="A20" t="s">
        <v>45</v>
      </c>
      <c r="B20">
        <v>2.16</v>
      </c>
      <c r="C20">
        <v>3</v>
      </c>
      <c r="D20" s="35">
        <f>((58.3+652)/1317)*100</f>
        <v>53.933181473044797</v>
      </c>
      <c r="E20">
        <v>2</v>
      </c>
      <c r="F20">
        <v>53.73</v>
      </c>
      <c r="G20">
        <v>3</v>
      </c>
      <c r="H20">
        <v>3</v>
      </c>
      <c r="I20">
        <f t="shared" si="0"/>
        <v>2.7000000000000006</v>
      </c>
    </row>
    <row r="21" spans="1:9" x14ac:dyDescent="0.2">
      <c r="A21" t="s">
        <v>46</v>
      </c>
      <c r="B21">
        <v>0.66</v>
      </c>
      <c r="C21">
        <v>5</v>
      </c>
      <c r="D21">
        <f>100*0.4819</f>
        <v>48.19</v>
      </c>
      <c r="E21">
        <v>2</v>
      </c>
      <c r="F21">
        <v>41.28</v>
      </c>
      <c r="G21">
        <v>1</v>
      </c>
      <c r="H21">
        <v>3</v>
      </c>
      <c r="I21">
        <f t="shared" si="0"/>
        <v>3.3000000000000003</v>
      </c>
    </row>
    <row r="22" spans="1:9" x14ac:dyDescent="0.2">
      <c r="A22" t="s">
        <v>47</v>
      </c>
      <c r="B22">
        <v>1.35</v>
      </c>
      <c r="C22">
        <v>5</v>
      </c>
      <c r="D22">
        <f>100*0.367</f>
        <v>36.700000000000003</v>
      </c>
      <c r="E22">
        <v>1</v>
      </c>
      <c r="F22">
        <v>29.34</v>
      </c>
      <c r="G22">
        <v>1</v>
      </c>
      <c r="H22">
        <v>2</v>
      </c>
      <c r="I22">
        <f t="shared" si="0"/>
        <v>2.8</v>
      </c>
    </row>
    <row r="23" spans="1:9" x14ac:dyDescent="0.2">
      <c r="A23" t="s">
        <v>48</v>
      </c>
      <c r="B23">
        <v>1.91</v>
      </c>
      <c r="C23">
        <v>4</v>
      </c>
      <c r="D23">
        <f>100*1.003</f>
        <v>100.29999999999998</v>
      </c>
      <c r="E23">
        <v>5</v>
      </c>
      <c r="F23">
        <v>42.52</v>
      </c>
      <c r="G23">
        <v>1</v>
      </c>
      <c r="H23">
        <v>3</v>
      </c>
      <c r="I23">
        <f t="shared" si="0"/>
        <v>3.8000000000000003</v>
      </c>
    </row>
    <row r="24" spans="1:9" x14ac:dyDescent="0.2">
      <c r="A24" t="s">
        <v>49</v>
      </c>
      <c r="B24">
        <v>3.4</v>
      </c>
      <c r="C24">
        <v>3</v>
      </c>
      <c r="D24">
        <f>100*0.1802</f>
        <v>18.02</v>
      </c>
      <c r="E24">
        <v>1</v>
      </c>
      <c r="F24">
        <v>50.28</v>
      </c>
      <c r="G24">
        <v>2</v>
      </c>
      <c r="H24">
        <v>3</v>
      </c>
      <c r="I24">
        <f t="shared" si="0"/>
        <v>2.3000000000000003</v>
      </c>
    </row>
    <row r="25" spans="1:9" x14ac:dyDescent="0.2">
      <c r="A25" t="s">
        <v>50</v>
      </c>
      <c r="B25">
        <v>1.77</v>
      </c>
      <c r="C25">
        <v>4</v>
      </c>
      <c r="D25" s="35">
        <f>((11700+7130)/27370)*100</f>
        <v>68.797953964194363</v>
      </c>
      <c r="E25">
        <v>3</v>
      </c>
      <c r="F25">
        <v>53.17</v>
      </c>
      <c r="G25">
        <v>3</v>
      </c>
      <c r="H25">
        <v>3</v>
      </c>
      <c r="I25">
        <f t="shared" si="0"/>
        <v>3.4</v>
      </c>
    </row>
    <row r="26" spans="1:9" x14ac:dyDescent="0.2">
      <c r="A26" t="s">
        <v>51</v>
      </c>
      <c r="B26">
        <v>4</v>
      </c>
      <c r="C26">
        <v>2</v>
      </c>
      <c r="D26">
        <v>20.329999999999998</v>
      </c>
      <c r="E26">
        <v>1</v>
      </c>
      <c r="F26">
        <v>53.44</v>
      </c>
      <c r="G26" s="29">
        <v>3</v>
      </c>
      <c r="H26">
        <v>3</v>
      </c>
      <c r="I26">
        <f t="shared" si="0"/>
        <v>2</v>
      </c>
    </row>
    <row r="27" spans="1:9" x14ac:dyDescent="0.2">
      <c r="A27" t="s">
        <v>52</v>
      </c>
      <c r="B27">
        <f>100*0.072</f>
        <v>7.1999999999999993</v>
      </c>
      <c r="C27">
        <v>1</v>
      </c>
      <c r="D27" s="31">
        <v>30.876000000000001</v>
      </c>
      <c r="E27">
        <v>1</v>
      </c>
      <c r="F27">
        <v>55.79</v>
      </c>
      <c r="G27">
        <v>4</v>
      </c>
      <c r="H27">
        <v>2</v>
      </c>
      <c r="I27">
        <f t="shared" si="0"/>
        <v>1.5</v>
      </c>
    </row>
    <row r="28" spans="1:9" x14ac:dyDescent="0.2">
      <c r="A28" t="s">
        <v>53</v>
      </c>
      <c r="B28">
        <f>100*0.05172</f>
        <v>5.1720000000000006</v>
      </c>
      <c r="C28">
        <v>2</v>
      </c>
      <c r="D28" s="31">
        <f>100*0.57506</f>
        <v>57.506</v>
      </c>
      <c r="E28">
        <v>3</v>
      </c>
      <c r="F28">
        <v>47.48</v>
      </c>
      <c r="G28">
        <v>1</v>
      </c>
      <c r="H28">
        <v>1</v>
      </c>
      <c r="I28">
        <f t="shared" si="0"/>
        <v>2</v>
      </c>
    </row>
    <row r="29" spans="1:9" x14ac:dyDescent="0.2">
      <c r="A29" t="s">
        <v>54</v>
      </c>
      <c r="B29">
        <f>100*0.08136</f>
        <v>8.136000000000001</v>
      </c>
      <c r="C29">
        <v>1</v>
      </c>
      <c r="D29" s="31">
        <f>100*0.34304</f>
        <v>34.304000000000002</v>
      </c>
      <c r="E29">
        <v>1</v>
      </c>
      <c r="F29">
        <v>51.53</v>
      </c>
      <c r="G29">
        <v>3</v>
      </c>
      <c r="H29">
        <v>2</v>
      </c>
      <c r="I29">
        <f t="shared" si="0"/>
        <v>1.4</v>
      </c>
    </row>
    <row r="30" spans="1:9" x14ac:dyDescent="0.2">
      <c r="A30" t="s">
        <v>55</v>
      </c>
      <c r="B30">
        <f>100*0.00454</f>
        <v>0.45399999999999996</v>
      </c>
      <c r="C30">
        <v>5</v>
      </c>
      <c r="D30" s="31">
        <f>100*0.63318</f>
        <v>63.317999999999998</v>
      </c>
      <c r="E30">
        <v>3</v>
      </c>
      <c r="F30">
        <v>60.06</v>
      </c>
      <c r="G30">
        <v>4</v>
      </c>
      <c r="H30">
        <v>2</v>
      </c>
      <c r="I30">
        <f t="shared" si="0"/>
        <v>3.6999999999999997</v>
      </c>
    </row>
    <row r="31" spans="1:9" x14ac:dyDescent="0.2">
      <c r="A31" t="s">
        <v>56</v>
      </c>
      <c r="B31">
        <f>100*0.03116</f>
        <v>3.1160000000000001</v>
      </c>
      <c r="C31">
        <v>3</v>
      </c>
      <c r="D31" s="31">
        <f>100*0.40046</f>
        <v>40.045999999999999</v>
      </c>
      <c r="E31">
        <v>1</v>
      </c>
      <c r="F31">
        <v>44.85</v>
      </c>
      <c r="G31">
        <v>1</v>
      </c>
      <c r="H31">
        <v>1</v>
      </c>
      <c r="I31">
        <f t="shared" si="0"/>
        <v>1.8000000000000003</v>
      </c>
    </row>
    <row r="32" spans="1:9" x14ac:dyDescent="0.2">
      <c r="A32" t="s">
        <v>57</v>
      </c>
      <c r="B32">
        <f>100*0.06666</f>
        <v>6.6659999999999995</v>
      </c>
      <c r="C32">
        <v>1</v>
      </c>
      <c r="D32" s="31">
        <f>100*0.52938</f>
        <v>52.937999999999995</v>
      </c>
      <c r="E32">
        <v>2</v>
      </c>
      <c r="F32">
        <v>49.51</v>
      </c>
      <c r="G32">
        <v>2</v>
      </c>
      <c r="H32">
        <v>1</v>
      </c>
      <c r="I32">
        <f t="shared" si="0"/>
        <v>1.4</v>
      </c>
    </row>
    <row r="33" spans="1:9" x14ac:dyDescent="0.2">
      <c r="A33" t="s">
        <v>58</v>
      </c>
      <c r="B33">
        <f>100*0.06228</f>
        <v>6.2279999999999998</v>
      </c>
      <c r="C33">
        <v>1</v>
      </c>
      <c r="D33" s="31">
        <f>100*0.5576</f>
        <v>55.76</v>
      </c>
      <c r="E33">
        <v>2</v>
      </c>
      <c r="F33">
        <v>44.56</v>
      </c>
      <c r="G33">
        <v>1</v>
      </c>
      <c r="H33">
        <v>1</v>
      </c>
      <c r="I33">
        <f t="shared" si="0"/>
        <v>1.3</v>
      </c>
    </row>
    <row r="34" spans="1:9" x14ac:dyDescent="0.2">
      <c r="A34" t="s">
        <v>59</v>
      </c>
      <c r="B34">
        <f>100*0.0049</f>
        <v>0.49</v>
      </c>
      <c r="C34">
        <v>5</v>
      </c>
      <c r="D34" s="31">
        <f>100*0.80026</f>
        <v>80.025999999999996</v>
      </c>
      <c r="E34">
        <v>4</v>
      </c>
      <c r="F34">
        <v>48.68</v>
      </c>
      <c r="G34">
        <v>2</v>
      </c>
      <c r="H34">
        <v>2</v>
      </c>
      <c r="I34">
        <f t="shared" si="0"/>
        <v>3.8000000000000003</v>
      </c>
    </row>
    <row r="35" spans="1:9" x14ac:dyDescent="0.2">
      <c r="A35" t="s">
        <v>60</v>
      </c>
      <c r="B35">
        <f>100*0.0175</f>
        <v>1.7500000000000002</v>
      </c>
      <c r="C35">
        <v>4</v>
      </c>
      <c r="D35" s="31">
        <f>100*0.988</f>
        <v>98.8</v>
      </c>
      <c r="E35">
        <v>4</v>
      </c>
      <c r="F35">
        <v>55</v>
      </c>
      <c r="G35">
        <v>4</v>
      </c>
      <c r="H35">
        <v>1</v>
      </c>
      <c r="I35">
        <v>3.4</v>
      </c>
    </row>
    <row r="36" spans="1:9" x14ac:dyDescent="0.2">
      <c r="A36" t="s">
        <v>61</v>
      </c>
      <c r="B36">
        <f>100*0.01988</f>
        <v>1.9879999999999998</v>
      </c>
      <c r="C36">
        <v>3</v>
      </c>
      <c r="D36" s="31">
        <f>100*1.01972</f>
        <v>101.97199999999999</v>
      </c>
      <c r="E36">
        <v>5</v>
      </c>
      <c r="F36">
        <v>39.119999999999997</v>
      </c>
      <c r="G36">
        <v>1</v>
      </c>
      <c r="H36">
        <v>1</v>
      </c>
      <c r="I36">
        <f>(C36*0.4)+(E36*0.3)+(G36*0.1)+(H36*0.2)</f>
        <v>3.0000000000000004</v>
      </c>
    </row>
    <row r="37" spans="1:9" x14ac:dyDescent="0.2">
      <c r="A37" t="s">
        <v>62</v>
      </c>
      <c r="B37">
        <f>100*0.0244</f>
        <v>2.44</v>
      </c>
      <c r="C37">
        <v>3</v>
      </c>
      <c r="D37" s="31">
        <f>100*0.64518</f>
        <v>64.518000000000001</v>
      </c>
      <c r="E37">
        <v>3</v>
      </c>
      <c r="F37">
        <v>50.51</v>
      </c>
      <c r="G37">
        <v>2</v>
      </c>
      <c r="H37">
        <v>1</v>
      </c>
      <c r="I37">
        <f>(C37*0.4)+(E37*0.3)+(G37*0.1)+(H37*0.2)</f>
        <v>2.5000000000000004</v>
      </c>
    </row>
    <row r="38" spans="1:9" x14ac:dyDescent="0.2">
      <c r="A38" t="s">
        <v>63</v>
      </c>
      <c r="B38">
        <f>100*0.0466</f>
        <v>4.66</v>
      </c>
      <c r="C38">
        <v>2</v>
      </c>
      <c r="D38" s="31">
        <f>100*0.7209</f>
        <v>72.09</v>
      </c>
      <c r="E38">
        <v>4</v>
      </c>
      <c r="F38">
        <v>45.96</v>
      </c>
      <c r="G38">
        <v>1</v>
      </c>
      <c r="H38">
        <v>1</v>
      </c>
      <c r="I38">
        <f>(C38*0.4)+(E38*0.3)+(G38*0.1)+(H38*0.2)</f>
        <v>2.3000000000000003</v>
      </c>
    </row>
    <row r="39" spans="1:9" x14ac:dyDescent="0.2">
      <c r="A39" t="s">
        <v>64</v>
      </c>
      <c r="B39">
        <f>100*0.0071</f>
        <v>0.71000000000000008</v>
      </c>
      <c r="C39">
        <v>5</v>
      </c>
      <c r="D39" s="31">
        <f>100*0.50924</f>
        <v>50.923999999999999</v>
      </c>
      <c r="E39">
        <v>2</v>
      </c>
      <c r="F39">
        <v>48.15</v>
      </c>
      <c r="G39">
        <v>2</v>
      </c>
      <c r="H39">
        <v>2</v>
      </c>
      <c r="I39">
        <f>(C39*0.4)+(E39*0.3)+(G39*0.1)+(H39*0.2)</f>
        <v>3.2</v>
      </c>
    </row>
    <row r="40" spans="1:9" x14ac:dyDescent="0.2">
      <c r="A40" t="s">
        <v>65</v>
      </c>
      <c r="B40">
        <f>100*0.0456</f>
        <v>4.5600000000000005</v>
      </c>
      <c r="C40">
        <v>2</v>
      </c>
      <c r="D40" s="31">
        <f>100*0.5249</f>
        <v>52.49</v>
      </c>
      <c r="E40">
        <v>2</v>
      </c>
      <c r="F40">
        <v>55.03</v>
      </c>
      <c r="G40">
        <v>3</v>
      </c>
      <c r="H40">
        <v>1</v>
      </c>
      <c r="I40">
        <f>(C40*0.4)+(E40*0.3)+(G40*0.1)+(H40*0.2)</f>
        <v>1.9</v>
      </c>
    </row>
    <row r="41" spans="1:9" x14ac:dyDescent="0.2">
      <c r="A41" t="s">
        <v>66</v>
      </c>
      <c r="B41" s="5">
        <v>5.2</v>
      </c>
      <c r="C41">
        <v>2</v>
      </c>
      <c r="D41" s="22">
        <v>157.30000000000001</v>
      </c>
      <c r="E41">
        <v>5</v>
      </c>
      <c r="F41">
        <v>60</v>
      </c>
      <c r="G41">
        <v>4</v>
      </c>
      <c r="H41">
        <v>1</v>
      </c>
      <c r="I41">
        <v>2.9</v>
      </c>
    </row>
    <row r="42" spans="1:9" x14ac:dyDescent="0.2">
      <c r="A42" t="s">
        <v>67</v>
      </c>
      <c r="B42">
        <f>100*0.054</f>
        <v>5.4</v>
      </c>
      <c r="C42">
        <v>2</v>
      </c>
      <c r="D42" s="31">
        <f>100*0.035</f>
        <v>3.5000000000000004</v>
      </c>
      <c r="E42">
        <v>1</v>
      </c>
      <c r="F42">
        <v>54.4</v>
      </c>
      <c r="G42">
        <v>3</v>
      </c>
      <c r="H42">
        <v>1</v>
      </c>
      <c r="I42">
        <f>(C42*0.4)+(E42*0.3)+(G42*0.1)+(H42*0.2)</f>
        <v>1.6</v>
      </c>
    </row>
    <row r="43" spans="1:9" x14ac:dyDescent="0.2">
      <c r="A43" t="s">
        <v>68</v>
      </c>
      <c r="B43">
        <f>100*0.05156</f>
        <v>5.1560000000000006</v>
      </c>
      <c r="C43">
        <v>2</v>
      </c>
      <c r="D43" s="32">
        <f>100*0.321</f>
        <v>32.1</v>
      </c>
      <c r="E43">
        <v>1</v>
      </c>
      <c r="F43">
        <v>49.94</v>
      </c>
      <c r="G43">
        <v>2</v>
      </c>
      <c r="H43">
        <v>1</v>
      </c>
      <c r="I43">
        <f>(C43*0.4)+(E43*0.3)+(G43*0.1)+(H43*0.2)</f>
        <v>1.5</v>
      </c>
    </row>
    <row r="44" spans="1:9" x14ac:dyDescent="0.2">
      <c r="A44" t="s">
        <v>69</v>
      </c>
      <c r="B44">
        <f>100*0.07282</f>
        <v>7.282</v>
      </c>
      <c r="C44">
        <v>1</v>
      </c>
      <c r="D44" s="31">
        <f>100*0.1105</f>
        <v>11.05</v>
      </c>
      <c r="E44">
        <v>1</v>
      </c>
      <c r="F44">
        <v>49.03</v>
      </c>
      <c r="G44">
        <v>2</v>
      </c>
      <c r="H44">
        <v>1</v>
      </c>
      <c r="I44">
        <f>(C44*0.4)+(E44*0.3)+(G44*0.1)+(H44*0.2)</f>
        <v>1.0999999999999999</v>
      </c>
    </row>
    <row r="45" spans="1:9" x14ac:dyDescent="0.2">
      <c r="A45" t="s">
        <v>70</v>
      </c>
      <c r="B45">
        <f>100*0.11544</f>
        <v>11.544</v>
      </c>
      <c r="C45">
        <v>1</v>
      </c>
      <c r="D45" s="31">
        <v>18.25</v>
      </c>
      <c r="E45">
        <v>1</v>
      </c>
      <c r="F45">
        <v>31.84</v>
      </c>
      <c r="G45">
        <v>1</v>
      </c>
      <c r="H45">
        <v>1</v>
      </c>
      <c r="I45">
        <f>(C45*0.4)+(E45*0.3)+(G45*0.1)+(H45*0.2)</f>
        <v>1</v>
      </c>
    </row>
    <row r="46" spans="1:9" x14ac:dyDescent="0.2">
      <c r="A46" t="s">
        <v>71</v>
      </c>
      <c r="B46">
        <f>100*0.05504</f>
        <v>5.5039999999999996</v>
      </c>
      <c r="C46">
        <v>2</v>
      </c>
      <c r="D46" s="31">
        <f>100*0.52694</f>
        <v>52.693999999999996</v>
      </c>
      <c r="E46">
        <v>2</v>
      </c>
      <c r="F46">
        <v>60.73</v>
      </c>
      <c r="G46">
        <v>4</v>
      </c>
      <c r="H46">
        <v>1</v>
      </c>
      <c r="I46">
        <f>(C46*0.4)+(E46*0.3)+(G46*0.1)+(H46*0.2)</f>
        <v>1.9999999999999998</v>
      </c>
    </row>
    <row r="47" spans="1:9" x14ac:dyDescent="0.2">
      <c r="A47" t="s">
        <v>72</v>
      </c>
      <c r="B47">
        <v>1.7</v>
      </c>
      <c r="C47">
        <v>5</v>
      </c>
      <c r="D47">
        <v>172.18</v>
      </c>
      <c r="E47">
        <v>5</v>
      </c>
      <c r="F47">
        <v>66.81</v>
      </c>
      <c r="G47">
        <v>5</v>
      </c>
      <c r="H47">
        <v>2</v>
      </c>
      <c r="I47">
        <f t="shared" ref="I47:I65" si="1">C47*0.4 + E47*0.3 + G47*0.1 + H47*0.2</f>
        <v>4.4000000000000004</v>
      </c>
    </row>
    <row r="48" spans="1:9" x14ac:dyDescent="0.2">
      <c r="A48" t="s">
        <v>73</v>
      </c>
      <c r="B48">
        <v>1.7</v>
      </c>
      <c r="C48">
        <v>5</v>
      </c>
      <c r="D48">
        <v>122.55</v>
      </c>
      <c r="E48">
        <v>5</v>
      </c>
      <c r="F48">
        <v>62.42</v>
      </c>
      <c r="G48">
        <v>4</v>
      </c>
      <c r="H48">
        <v>2</v>
      </c>
      <c r="I48">
        <f t="shared" si="1"/>
        <v>4.3</v>
      </c>
    </row>
    <row r="49" spans="1:9" x14ac:dyDescent="0.2">
      <c r="A49" t="s">
        <v>74</v>
      </c>
      <c r="B49">
        <v>2.9060000000000001</v>
      </c>
      <c r="C49">
        <v>3</v>
      </c>
      <c r="D49">
        <v>36.72</v>
      </c>
      <c r="E49">
        <v>1</v>
      </c>
      <c r="F49">
        <v>53.68</v>
      </c>
      <c r="G49">
        <v>3</v>
      </c>
      <c r="H49">
        <v>2</v>
      </c>
      <c r="I49">
        <f t="shared" si="1"/>
        <v>2.2000000000000002</v>
      </c>
    </row>
    <row r="50" spans="1:9" x14ac:dyDescent="0.2">
      <c r="A50" t="s">
        <v>75</v>
      </c>
      <c r="B50">
        <v>1.7</v>
      </c>
      <c r="C50">
        <v>5</v>
      </c>
      <c r="D50">
        <v>116.41</v>
      </c>
      <c r="E50">
        <v>5</v>
      </c>
      <c r="F50">
        <v>71.459999999999994</v>
      </c>
      <c r="G50">
        <v>5</v>
      </c>
      <c r="H50">
        <v>2</v>
      </c>
      <c r="I50">
        <f t="shared" si="1"/>
        <v>4.4000000000000004</v>
      </c>
    </row>
    <row r="51" spans="1:9" x14ac:dyDescent="0.2">
      <c r="A51" t="s">
        <v>76</v>
      </c>
      <c r="B51">
        <v>1.7</v>
      </c>
      <c r="C51">
        <v>5</v>
      </c>
      <c r="D51">
        <v>81.12</v>
      </c>
      <c r="E51">
        <v>4</v>
      </c>
      <c r="F51">
        <v>70.56</v>
      </c>
      <c r="G51">
        <v>5</v>
      </c>
      <c r="H51">
        <v>2</v>
      </c>
      <c r="I51">
        <f t="shared" si="1"/>
        <v>4.1000000000000005</v>
      </c>
    </row>
    <row r="52" spans="1:9" x14ac:dyDescent="0.2">
      <c r="A52" t="s">
        <v>77</v>
      </c>
      <c r="B52">
        <v>1.7</v>
      </c>
      <c r="C52">
        <v>5</v>
      </c>
      <c r="D52">
        <v>64.739999999999995</v>
      </c>
      <c r="E52">
        <v>3</v>
      </c>
      <c r="F52">
        <v>66.489999999999995</v>
      </c>
      <c r="G52">
        <v>5</v>
      </c>
      <c r="H52">
        <v>2</v>
      </c>
      <c r="I52">
        <f t="shared" si="1"/>
        <v>3.8</v>
      </c>
    </row>
    <row r="53" spans="1:9" x14ac:dyDescent="0.2">
      <c r="A53" t="s">
        <v>78</v>
      </c>
      <c r="B53">
        <v>1.7</v>
      </c>
      <c r="C53">
        <v>5</v>
      </c>
      <c r="D53">
        <v>89.72</v>
      </c>
      <c r="E53">
        <v>4</v>
      </c>
      <c r="F53">
        <v>68.62</v>
      </c>
      <c r="G53">
        <v>5</v>
      </c>
      <c r="H53">
        <v>2</v>
      </c>
      <c r="I53">
        <f t="shared" si="1"/>
        <v>4.1000000000000005</v>
      </c>
    </row>
    <row r="54" spans="1:9" x14ac:dyDescent="0.2">
      <c r="A54" t="s">
        <v>79</v>
      </c>
      <c r="B54">
        <v>5.8620000000000001</v>
      </c>
      <c r="C54">
        <v>1</v>
      </c>
      <c r="D54">
        <v>43.78</v>
      </c>
      <c r="E54">
        <v>2</v>
      </c>
      <c r="F54">
        <v>45.41</v>
      </c>
      <c r="G54">
        <v>1</v>
      </c>
      <c r="H54">
        <v>2</v>
      </c>
      <c r="I54">
        <f t="shared" si="1"/>
        <v>1.5</v>
      </c>
    </row>
    <row r="55" spans="1:9" x14ac:dyDescent="0.2">
      <c r="A55" t="s">
        <v>80</v>
      </c>
      <c r="B55">
        <v>1.986</v>
      </c>
      <c r="C55">
        <v>3</v>
      </c>
      <c r="D55">
        <v>39.520000000000003</v>
      </c>
      <c r="E55">
        <v>1</v>
      </c>
      <c r="F55">
        <v>50.87</v>
      </c>
      <c r="G55">
        <v>2</v>
      </c>
      <c r="H55">
        <v>1</v>
      </c>
      <c r="I55">
        <f t="shared" si="1"/>
        <v>1.9000000000000001</v>
      </c>
    </row>
    <row r="56" spans="1:9" x14ac:dyDescent="0.2">
      <c r="A56" t="s">
        <v>81</v>
      </c>
      <c r="B56">
        <v>0.94599999999999995</v>
      </c>
      <c r="C56">
        <v>5</v>
      </c>
      <c r="D56">
        <v>56.18</v>
      </c>
      <c r="E56">
        <v>3</v>
      </c>
      <c r="F56">
        <v>51.54</v>
      </c>
      <c r="G56">
        <v>3</v>
      </c>
      <c r="H56">
        <v>1</v>
      </c>
      <c r="I56">
        <f t="shared" si="1"/>
        <v>3.4000000000000004</v>
      </c>
    </row>
    <row r="57" spans="1:9" x14ac:dyDescent="0.2">
      <c r="A57" t="s">
        <v>82</v>
      </c>
      <c r="B57">
        <v>1.7</v>
      </c>
      <c r="C57">
        <v>5</v>
      </c>
      <c r="D57">
        <v>64.12</v>
      </c>
      <c r="E57">
        <v>3</v>
      </c>
      <c r="F57">
        <v>62.72</v>
      </c>
      <c r="G57">
        <v>4</v>
      </c>
      <c r="H57">
        <v>2</v>
      </c>
      <c r="I57">
        <f t="shared" si="1"/>
        <v>3.6999999999999997</v>
      </c>
    </row>
    <row r="58" spans="1:9" x14ac:dyDescent="0.2">
      <c r="A58" t="s">
        <v>83</v>
      </c>
      <c r="B58">
        <v>4.0419999999999998</v>
      </c>
      <c r="C58">
        <v>2</v>
      </c>
      <c r="D58">
        <v>81.89</v>
      </c>
      <c r="E58">
        <v>4</v>
      </c>
      <c r="F58">
        <v>66.430000000000007</v>
      </c>
      <c r="G58">
        <v>5</v>
      </c>
      <c r="H58">
        <v>3</v>
      </c>
      <c r="I58">
        <f t="shared" si="1"/>
        <v>3.1</v>
      </c>
    </row>
    <row r="59" spans="1:9" x14ac:dyDescent="0.2">
      <c r="A59" t="s">
        <v>84</v>
      </c>
      <c r="B59">
        <v>1.7</v>
      </c>
      <c r="C59">
        <v>5</v>
      </c>
      <c r="D59">
        <v>158.84</v>
      </c>
      <c r="E59">
        <v>5</v>
      </c>
      <c r="F59">
        <v>68.06</v>
      </c>
      <c r="G59">
        <v>5</v>
      </c>
      <c r="H59">
        <v>2</v>
      </c>
      <c r="I59">
        <f t="shared" si="1"/>
        <v>4.4000000000000004</v>
      </c>
    </row>
    <row r="60" spans="1:9" x14ac:dyDescent="0.2">
      <c r="A60" t="s">
        <v>85</v>
      </c>
      <c r="B60">
        <v>3.69</v>
      </c>
      <c r="C60">
        <v>2</v>
      </c>
      <c r="D60">
        <v>74.61</v>
      </c>
      <c r="E60">
        <v>4</v>
      </c>
      <c r="F60">
        <v>46.43</v>
      </c>
      <c r="G60">
        <v>1</v>
      </c>
      <c r="H60">
        <v>2</v>
      </c>
      <c r="I60">
        <f t="shared" si="1"/>
        <v>2.5</v>
      </c>
    </row>
    <row r="61" spans="1:9" x14ac:dyDescent="0.2">
      <c r="A61" t="s">
        <v>86</v>
      </c>
      <c r="B61">
        <v>1.7</v>
      </c>
      <c r="C61">
        <v>5</v>
      </c>
      <c r="D61">
        <v>93.89</v>
      </c>
      <c r="E61">
        <v>4</v>
      </c>
      <c r="F61">
        <v>71.91</v>
      </c>
      <c r="G61">
        <v>5</v>
      </c>
      <c r="H61">
        <v>2</v>
      </c>
      <c r="I61">
        <f t="shared" si="1"/>
        <v>4.1000000000000005</v>
      </c>
    </row>
    <row r="62" spans="1:9" x14ac:dyDescent="0.2">
      <c r="A62" t="s">
        <v>87</v>
      </c>
      <c r="B62">
        <v>2.452</v>
      </c>
      <c r="C62">
        <v>3</v>
      </c>
      <c r="D62">
        <v>130.91</v>
      </c>
      <c r="E62">
        <v>5</v>
      </c>
      <c r="F62">
        <v>66.03</v>
      </c>
      <c r="G62">
        <v>5</v>
      </c>
      <c r="H62">
        <v>1</v>
      </c>
      <c r="I62">
        <f t="shared" si="1"/>
        <v>3.4000000000000004</v>
      </c>
    </row>
    <row r="63" spans="1:9" x14ac:dyDescent="0.2">
      <c r="A63" t="s">
        <v>88</v>
      </c>
      <c r="B63">
        <v>0</v>
      </c>
      <c r="C63">
        <v>5</v>
      </c>
      <c r="D63" s="19">
        <f>(21.9+482)/1042 * 100</f>
        <v>48.358925143953932</v>
      </c>
      <c r="E63">
        <v>2</v>
      </c>
      <c r="F63">
        <v>66.5</v>
      </c>
      <c r="G63">
        <v>5</v>
      </c>
      <c r="H63">
        <v>1</v>
      </c>
      <c r="I63">
        <f t="shared" si="1"/>
        <v>3.3000000000000003</v>
      </c>
    </row>
    <row r="64" spans="1:9" x14ac:dyDescent="0.2">
      <c r="A64" t="s">
        <v>89</v>
      </c>
      <c r="B64">
        <v>2.63</v>
      </c>
      <c r="C64">
        <v>3</v>
      </c>
      <c r="D64">
        <f>(357+385)/ 514.1 * 100</f>
        <v>144.32989690721649</v>
      </c>
      <c r="E64">
        <v>5</v>
      </c>
      <c r="F64">
        <v>54.8</v>
      </c>
      <c r="G64">
        <v>3</v>
      </c>
      <c r="H64">
        <v>3</v>
      </c>
      <c r="I64">
        <f t="shared" si="1"/>
        <v>3.6</v>
      </c>
    </row>
    <row r="65" spans="1:9" x14ac:dyDescent="0.2">
      <c r="A65" t="s">
        <v>90</v>
      </c>
      <c r="B65">
        <v>1.526</v>
      </c>
      <c r="C65">
        <v>5</v>
      </c>
      <c r="D65">
        <v>63.58</v>
      </c>
      <c r="E65">
        <v>2</v>
      </c>
      <c r="F65">
        <v>61.02</v>
      </c>
      <c r="G65">
        <v>4</v>
      </c>
      <c r="H65">
        <v>1</v>
      </c>
      <c r="I65">
        <f t="shared" si="1"/>
        <v>3.2</v>
      </c>
    </row>
    <row r="66" spans="1:9" x14ac:dyDescent="0.2">
      <c r="A66" s="1" t="s">
        <v>91</v>
      </c>
      <c r="B66">
        <v>13.07</v>
      </c>
      <c r="C66">
        <v>1</v>
      </c>
      <c r="D66">
        <f>((222+934)/2033)*100</f>
        <v>56.861780619773739</v>
      </c>
      <c r="E66">
        <v>3</v>
      </c>
      <c r="F66">
        <v>55</v>
      </c>
      <c r="G66">
        <v>3</v>
      </c>
      <c r="H66">
        <v>3</v>
      </c>
      <c r="I66">
        <f>(C66*0.4)+(E66*0.3)+(G66*0.1)+(H66*0.2)</f>
        <v>2.2000000000000002</v>
      </c>
    </row>
  </sheetData>
  <sortState xmlns:xlrd2="http://schemas.microsoft.com/office/spreadsheetml/2017/richdata2" ref="A6:A66">
    <sortCondition ref="A6:A66"/>
  </sortState>
  <mergeCells count="6">
    <mergeCell ref="F5:G5"/>
    <mergeCell ref="F1:G1"/>
    <mergeCell ref="B5:C5"/>
    <mergeCell ref="D5:E5"/>
    <mergeCell ref="B1:C1"/>
    <mergeCell ref="D1:E1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BBE891-A8E0-4C05-AA82-6091F2AAF3E7}">
  <dimension ref="A1:I27"/>
  <sheetViews>
    <sheetView zoomScale="73" workbookViewId="0">
      <pane xSplit="1" topLeftCell="C1" activePane="topRight" state="frozen"/>
      <selection activeCell="A4" sqref="A4"/>
      <selection pane="topRight" activeCell="G27" sqref="G27"/>
    </sheetView>
  </sheetViews>
  <sheetFormatPr baseColWidth="10" defaultColWidth="8.83203125" defaultRowHeight="15" x14ac:dyDescent="0.2"/>
  <cols>
    <col min="1" max="1" width="26.5" customWidth="1"/>
    <col min="2" max="5" width="14.33203125" customWidth="1"/>
    <col min="6" max="7" width="13.83203125" customWidth="1"/>
    <col min="8" max="9" width="26.5" customWidth="1"/>
  </cols>
  <sheetData>
    <row r="1" spans="1:9" x14ac:dyDescent="0.2">
      <c r="A1" t="s">
        <v>92</v>
      </c>
      <c r="B1" s="46"/>
      <c r="C1" s="46"/>
      <c r="D1" s="46"/>
      <c r="E1" s="46"/>
      <c r="F1" s="46"/>
      <c r="G1" s="46"/>
    </row>
    <row r="2" spans="1:9" x14ac:dyDescent="0.2">
      <c r="A2" t="s">
        <v>93</v>
      </c>
      <c r="B2" s="46"/>
      <c r="C2" s="46"/>
      <c r="D2" s="46"/>
      <c r="E2" s="46"/>
      <c r="F2" s="46"/>
      <c r="G2" s="46"/>
    </row>
    <row r="4" spans="1:9" x14ac:dyDescent="0.2">
      <c r="B4" s="3" t="s">
        <v>21</v>
      </c>
      <c r="C4" s="3" t="s">
        <v>22</v>
      </c>
      <c r="D4" s="3" t="s">
        <v>21</v>
      </c>
      <c r="E4" s="3" t="s">
        <v>22</v>
      </c>
      <c r="F4" s="3" t="s">
        <v>94</v>
      </c>
      <c r="G4" s="3" t="s">
        <v>95</v>
      </c>
    </row>
    <row r="5" spans="1:9" x14ac:dyDescent="0.2">
      <c r="A5" s="2" t="s">
        <v>25</v>
      </c>
      <c r="B5" s="45" t="s">
        <v>26</v>
      </c>
      <c r="C5" s="45"/>
      <c r="D5" s="45" t="s">
        <v>27</v>
      </c>
      <c r="E5" s="45"/>
      <c r="F5" s="2" t="s">
        <v>28</v>
      </c>
      <c r="G5" s="2"/>
      <c r="H5" s="2" t="s">
        <v>29</v>
      </c>
      <c r="I5" s="2" t="s">
        <v>96</v>
      </c>
    </row>
    <row r="6" spans="1:9" x14ac:dyDescent="0.2">
      <c r="A6" t="s">
        <v>31</v>
      </c>
      <c r="B6" s="17">
        <v>13</v>
      </c>
      <c r="C6">
        <v>1</v>
      </c>
      <c r="D6" s="18">
        <f>((21.3+226)/311)</f>
        <v>0.79517684887459805</v>
      </c>
      <c r="E6">
        <v>3</v>
      </c>
      <c r="F6" s="17">
        <v>63</v>
      </c>
      <c r="G6" s="17">
        <v>5</v>
      </c>
      <c r="H6">
        <v>1</v>
      </c>
      <c r="I6">
        <f>(C6*0.4)+(E6*0.3)+(G6*0.1)+(H6*0.2)</f>
        <v>1.9999999999999998</v>
      </c>
    </row>
    <row r="7" spans="1:9" x14ac:dyDescent="0.2">
      <c r="A7" t="s">
        <v>32</v>
      </c>
      <c r="B7">
        <v>8.4499999999999993</v>
      </c>
      <c r="C7">
        <v>1</v>
      </c>
      <c r="D7">
        <v>113.97</v>
      </c>
      <c r="E7">
        <v>5</v>
      </c>
      <c r="F7" s="17">
        <v>68</v>
      </c>
      <c r="G7" s="17">
        <v>5</v>
      </c>
      <c r="H7">
        <v>2</v>
      </c>
      <c r="I7">
        <f t="shared" ref="I7:I26" si="0">(C7*0.4)+(E7*0.3)+(G7*0.1)+(H7*0.2)</f>
        <v>2.8</v>
      </c>
    </row>
    <row r="8" spans="1:9" x14ac:dyDescent="0.2">
      <c r="A8" t="s">
        <v>33</v>
      </c>
      <c r="B8">
        <v>3.41</v>
      </c>
      <c r="C8">
        <v>3</v>
      </c>
      <c r="D8">
        <v>73.86</v>
      </c>
      <c r="E8">
        <v>3</v>
      </c>
      <c r="F8">
        <v>52.49</v>
      </c>
      <c r="G8">
        <v>4</v>
      </c>
      <c r="H8">
        <v>2</v>
      </c>
      <c r="I8">
        <f t="shared" si="0"/>
        <v>2.9</v>
      </c>
    </row>
    <row r="9" spans="1:9" x14ac:dyDescent="0.2">
      <c r="A9" t="s">
        <v>34</v>
      </c>
      <c r="B9">
        <v>4.8099999999999996</v>
      </c>
      <c r="C9">
        <v>2</v>
      </c>
      <c r="D9">
        <v>58.31</v>
      </c>
      <c r="E9">
        <v>2</v>
      </c>
      <c r="F9">
        <v>54.03</v>
      </c>
      <c r="G9">
        <v>4</v>
      </c>
      <c r="H9">
        <v>3</v>
      </c>
      <c r="I9">
        <f t="shared" si="0"/>
        <v>2.4</v>
      </c>
    </row>
    <row r="10" spans="1:9" x14ac:dyDescent="0.2">
      <c r="A10" t="s">
        <v>35</v>
      </c>
      <c r="B10">
        <v>13.82</v>
      </c>
      <c r="C10">
        <v>1</v>
      </c>
      <c r="D10">
        <v>99.48</v>
      </c>
      <c r="E10">
        <v>4</v>
      </c>
      <c r="F10">
        <v>47.78</v>
      </c>
      <c r="G10">
        <v>3</v>
      </c>
      <c r="H10">
        <v>3</v>
      </c>
      <c r="I10">
        <f t="shared" si="0"/>
        <v>2.5</v>
      </c>
    </row>
    <row r="11" spans="1:9" x14ac:dyDescent="0.2">
      <c r="A11" t="s">
        <v>36</v>
      </c>
      <c r="B11">
        <v>39.9</v>
      </c>
      <c r="C11">
        <v>1</v>
      </c>
      <c r="D11">
        <v>58.89</v>
      </c>
      <c r="E11">
        <v>2</v>
      </c>
      <c r="F11" s="17">
        <v>67.5</v>
      </c>
      <c r="G11" s="17">
        <v>5</v>
      </c>
      <c r="H11">
        <v>1</v>
      </c>
      <c r="I11">
        <f t="shared" si="0"/>
        <v>1.7</v>
      </c>
    </row>
    <row r="12" spans="1:9" x14ac:dyDescent="0.2">
      <c r="A12" t="s">
        <v>37</v>
      </c>
      <c r="B12" s="17">
        <v>0</v>
      </c>
      <c r="C12">
        <v>5</v>
      </c>
      <c r="D12" s="18">
        <f>(281+857)/1028</f>
        <v>1.1070038910505837</v>
      </c>
      <c r="E12">
        <v>5</v>
      </c>
      <c r="F12" s="17">
        <v>65</v>
      </c>
      <c r="G12" s="17">
        <v>5</v>
      </c>
      <c r="H12">
        <v>1</v>
      </c>
      <c r="I12">
        <f t="shared" si="0"/>
        <v>4.2</v>
      </c>
    </row>
    <row r="13" spans="1:9" x14ac:dyDescent="0.2">
      <c r="A13" t="s">
        <v>38</v>
      </c>
      <c r="B13">
        <v>4.08</v>
      </c>
      <c r="C13">
        <v>2</v>
      </c>
      <c r="D13">
        <v>44.06</v>
      </c>
      <c r="E13">
        <v>1</v>
      </c>
      <c r="F13" s="17">
        <v>66</v>
      </c>
      <c r="G13" s="17">
        <v>5</v>
      </c>
      <c r="H13">
        <v>1</v>
      </c>
      <c r="I13">
        <f t="shared" si="0"/>
        <v>1.8</v>
      </c>
    </row>
    <row r="14" spans="1:9" x14ac:dyDescent="0.2">
      <c r="A14" t="s">
        <v>39</v>
      </c>
      <c r="B14">
        <v>1.27</v>
      </c>
      <c r="C14">
        <v>5</v>
      </c>
      <c r="D14">
        <v>69.33</v>
      </c>
      <c r="E14">
        <v>4</v>
      </c>
      <c r="F14">
        <v>55.94</v>
      </c>
      <c r="G14" s="29">
        <v>4</v>
      </c>
      <c r="H14">
        <v>3</v>
      </c>
      <c r="I14">
        <f t="shared" si="0"/>
        <v>4.2</v>
      </c>
    </row>
    <row r="15" spans="1:9" x14ac:dyDescent="0.2">
      <c r="A15" t="s">
        <v>40</v>
      </c>
      <c r="B15">
        <v>6.69</v>
      </c>
      <c r="C15">
        <v>2</v>
      </c>
      <c r="D15">
        <v>41.46</v>
      </c>
      <c r="E15">
        <v>1</v>
      </c>
      <c r="F15">
        <v>48.8</v>
      </c>
      <c r="G15" s="29">
        <v>3</v>
      </c>
      <c r="H15">
        <v>2</v>
      </c>
      <c r="I15">
        <f t="shared" si="0"/>
        <v>1.8000000000000003</v>
      </c>
    </row>
    <row r="16" spans="1:9" x14ac:dyDescent="0.2">
      <c r="A16" t="s">
        <v>41</v>
      </c>
      <c r="B16" s="17">
        <v>0</v>
      </c>
      <c r="C16">
        <v>5</v>
      </c>
      <c r="D16" s="18">
        <f>((370+1210)/3281)</f>
        <v>0.48156049984760746</v>
      </c>
      <c r="E16">
        <v>2</v>
      </c>
      <c r="F16" s="17">
        <v>64</v>
      </c>
      <c r="G16" s="17">
        <v>5</v>
      </c>
      <c r="H16">
        <v>2</v>
      </c>
      <c r="I16">
        <f t="shared" si="0"/>
        <v>3.5</v>
      </c>
    </row>
    <row r="17" spans="1:9" x14ac:dyDescent="0.2">
      <c r="A17" t="s">
        <v>42</v>
      </c>
      <c r="B17">
        <v>3.23</v>
      </c>
      <c r="C17">
        <v>3</v>
      </c>
      <c r="D17" s="18">
        <f>((47.6+458)/654)</f>
        <v>0.7730886850152906</v>
      </c>
      <c r="E17">
        <v>3</v>
      </c>
      <c r="F17">
        <v>52.58</v>
      </c>
      <c r="G17" s="29">
        <v>4</v>
      </c>
      <c r="H17">
        <v>3</v>
      </c>
      <c r="I17">
        <f t="shared" si="0"/>
        <v>3.1</v>
      </c>
    </row>
    <row r="18" spans="1:9" x14ac:dyDescent="0.2">
      <c r="A18" t="s">
        <v>43</v>
      </c>
      <c r="B18">
        <v>3.22</v>
      </c>
      <c r="C18">
        <v>3</v>
      </c>
      <c r="D18">
        <v>50.38</v>
      </c>
      <c r="E18">
        <v>2</v>
      </c>
      <c r="F18">
        <v>49.51</v>
      </c>
      <c r="G18" s="29">
        <v>3</v>
      </c>
      <c r="H18">
        <v>3</v>
      </c>
      <c r="I18">
        <f t="shared" si="0"/>
        <v>2.7000000000000006</v>
      </c>
    </row>
    <row r="19" spans="1:9" x14ac:dyDescent="0.2">
      <c r="A19" t="s">
        <v>44</v>
      </c>
      <c r="B19">
        <v>1.97</v>
      </c>
      <c r="C19">
        <v>4</v>
      </c>
      <c r="D19" s="5">
        <v>0.78680000000000005</v>
      </c>
      <c r="E19">
        <v>3</v>
      </c>
      <c r="F19">
        <v>44.34</v>
      </c>
      <c r="G19" s="29">
        <v>2</v>
      </c>
      <c r="H19">
        <v>3</v>
      </c>
      <c r="I19">
        <f t="shared" si="0"/>
        <v>3.3000000000000003</v>
      </c>
    </row>
    <row r="20" spans="1:9" x14ac:dyDescent="0.2">
      <c r="A20" t="s">
        <v>45</v>
      </c>
      <c r="B20">
        <v>2.16</v>
      </c>
      <c r="C20">
        <v>3</v>
      </c>
      <c r="D20" s="18">
        <f>((58.3+652)/1317)</f>
        <v>0.539331814730448</v>
      </c>
      <c r="E20">
        <v>2</v>
      </c>
      <c r="F20">
        <v>53.73</v>
      </c>
      <c r="G20" s="29">
        <v>4</v>
      </c>
      <c r="H20">
        <v>3</v>
      </c>
      <c r="I20">
        <f t="shared" si="0"/>
        <v>2.8000000000000003</v>
      </c>
    </row>
    <row r="21" spans="1:9" x14ac:dyDescent="0.2">
      <c r="A21" t="s">
        <v>46</v>
      </c>
      <c r="B21">
        <v>0.66</v>
      </c>
      <c r="C21">
        <v>5</v>
      </c>
      <c r="D21" s="5">
        <v>0.4819</v>
      </c>
      <c r="E21">
        <v>2</v>
      </c>
      <c r="F21">
        <v>41.28</v>
      </c>
      <c r="G21" s="29">
        <v>2</v>
      </c>
      <c r="H21">
        <v>3</v>
      </c>
      <c r="I21">
        <f t="shared" si="0"/>
        <v>3.4000000000000004</v>
      </c>
    </row>
    <row r="22" spans="1:9" x14ac:dyDescent="0.2">
      <c r="A22" t="s">
        <v>47</v>
      </c>
      <c r="B22">
        <v>1.35</v>
      </c>
      <c r="C22">
        <v>5</v>
      </c>
      <c r="D22" s="5">
        <v>0.36699999999999999</v>
      </c>
      <c r="E22">
        <v>1</v>
      </c>
      <c r="F22">
        <v>29.34</v>
      </c>
      <c r="G22" s="29">
        <v>1</v>
      </c>
      <c r="H22">
        <v>2</v>
      </c>
      <c r="I22">
        <f t="shared" si="0"/>
        <v>2.8</v>
      </c>
    </row>
    <row r="23" spans="1:9" x14ac:dyDescent="0.2">
      <c r="A23" t="s">
        <v>48</v>
      </c>
      <c r="B23">
        <v>1.91</v>
      </c>
      <c r="C23">
        <v>4</v>
      </c>
      <c r="D23" s="5">
        <v>1.0029999999999999</v>
      </c>
      <c r="E23">
        <v>4</v>
      </c>
      <c r="F23">
        <v>42.52</v>
      </c>
      <c r="G23" s="29">
        <v>2</v>
      </c>
      <c r="H23">
        <v>3</v>
      </c>
      <c r="I23">
        <f t="shared" si="0"/>
        <v>3.6</v>
      </c>
    </row>
    <row r="24" spans="1:9" x14ac:dyDescent="0.2">
      <c r="A24" t="s">
        <v>49</v>
      </c>
      <c r="B24">
        <v>3.4</v>
      </c>
      <c r="C24">
        <v>3</v>
      </c>
      <c r="D24" s="5">
        <v>0.1802</v>
      </c>
      <c r="E24">
        <v>1</v>
      </c>
      <c r="F24">
        <v>50.28</v>
      </c>
      <c r="G24" s="29">
        <v>3</v>
      </c>
      <c r="H24">
        <v>3</v>
      </c>
      <c r="I24">
        <f t="shared" si="0"/>
        <v>2.4000000000000004</v>
      </c>
    </row>
    <row r="25" spans="1:9" x14ac:dyDescent="0.2">
      <c r="A25" t="s">
        <v>50</v>
      </c>
      <c r="B25">
        <v>1.77</v>
      </c>
      <c r="C25">
        <v>4</v>
      </c>
      <c r="D25" s="18">
        <f>(11700+7130)/27370</f>
        <v>0.68797953964194369</v>
      </c>
      <c r="E25">
        <v>3</v>
      </c>
      <c r="F25">
        <v>53.17</v>
      </c>
      <c r="G25" s="29">
        <v>4</v>
      </c>
      <c r="H25">
        <v>3</v>
      </c>
      <c r="I25">
        <f t="shared" si="0"/>
        <v>3.5</v>
      </c>
    </row>
    <row r="26" spans="1:9" x14ac:dyDescent="0.2">
      <c r="A26" t="s">
        <v>51</v>
      </c>
      <c r="B26">
        <v>4</v>
      </c>
      <c r="C26">
        <v>2</v>
      </c>
      <c r="D26" s="5">
        <v>0.20330000000000001</v>
      </c>
      <c r="E26">
        <v>1</v>
      </c>
      <c r="F26">
        <v>53.44</v>
      </c>
      <c r="G26" s="29">
        <v>4</v>
      </c>
      <c r="H26">
        <v>3</v>
      </c>
      <c r="I26">
        <f t="shared" si="0"/>
        <v>2.1</v>
      </c>
    </row>
    <row r="27" spans="1:9" x14ac:dyDescent="0.2">
      <c r="A27" s="1" t="s">
        <v>91</v>
      </c>
      <c r="B27">
        <v>13.07</v>
      </c>
      <c r="C27">
        <v>1</v>
      </c>
      <c r="D27">
        <f>((222+934)/2033)*100</f>
        <v>56.861780619773739</v>
      </c>
      <c r="E27">
        <v>3</v>
      </c>
      <c r="F27">
        <v>55</v>
      </c>
      <c r="G27">
        <v>3</v>
      </c>
      <c r="H27">
        <v>3</v>
      </c>
      <c r="I27">
        <f>(C27*0.4)+(E27*0.3)+(G27*0.1)+(H27*0.2)</f>
        <v>2.2000000000000002</v>
      </c>
    </row>
  </sheetData>
  <mergeCells count="8">
    <mergeCell ref="F1:G1"/>
    <mergeCell ref="F2:G2"/>
    <mergeCell ref="B5:C5"/>
    <mergeCell ref="D5:E5"/>
    <mergeCell ref="B1:C1"/>
    <mergeCell ref="D1:E1"/>
    <mergeCell ref="B2:C2"/>
    <mergeCell ref="D2:E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9C0A5-3447-4857-998C-9BA17226E5D8}">
  <dimension ref="A1:I25"/>
  <sheetViews>
    <sheetView topLeftCell="A4" workbookViewId="0">
      <selection activeCell="J20" sqref="J20"/>
    </sheetView>
  </sheetViews>
  <sheetFormatPr baseColWidth="10" defaultColWidth="8.83203125" defaultRowHeight="15" x14ac:dyDescent="0.2"/>
  <cols>
    <col min="1" max="1" width="26.1640625" customWidth="1"/>
    <col min="2" max="2" width="14.33203125" style="5" customWidth="1"/>
    <col min="3" max="3" width="14.33203125" customWidth="1"/>
    <col min="4" max="4" width="14.33203125" style="21" customWidth="1"/>
    <col min="5" max="5" width="14.33203125" customWidth="1"/>
    <col min="6" max="7" width="26.1640625" customWidth="1"/>
    <col min="8" max="9" width="26" customWidth="1"/>
  </cols>
  <sheetData>
    <row r="1" spans="1:9" x14ac:dyDescent="0.2">
      <c r="A1" t="s">
        <v>92</v>
      </c>
      <c r="B1" s="47"/>
      <c r="C1" s="47"/>
      <c r="D1" s="47"/>
      <c r="E1" s="47"/>
    </row>
    <row r="2" spans="1:9" x14ac:dyDescent="0.2">
      <c r="A2" t="s">
        <v>93</v>
      </c>
      <c r="B2" s="47"/>
      <c r="C2" s="47"/>
      <c r="D2" s="47"/>
      <c r="E2" s="47"/>
    </row>
    <row r="4" spans="1:9" x14ac:dyDescent="0.2">
      <c r="B4" s="20" t="s">
        <v>21</v>
      </c>
      <c r="C4" s="3" t="s">
        <v>22</v>
      </c>
      <c r="D4" s="21" t="s">
        <v>21</v>
      </c>
      <c r="E4" s="3" t="s">
        <v>22</v>
      </c>
      <c r="F4" t="s">
        <v>97</v>
      </c>
      <c r="G4" t="s">
        <v>22</v>
      </c>
    </row>
    <row r="5" spans="1:9" x14ac:dyDescent="0.2">
      <c r="A5" s="2" t="s">
        <v>25</v>
      </c>
      <c r="B5" s="45" t="s">
        <v>26</v>
      </c>
      <c r="C5" s="45"/>
      <c r="D5" s="45" t="s">
        <v>27</v>
      </c>
      <c r="E5" s="45"/>
      <c r="F5" s="2" t="s">
        <v>28</v>
      </c>
      <c r="G5" s="2"/>
      <c r="H5" s="2" t="s">
        <v>29</v>
      </c>
      <c r="I5" s="2" t="s">
        <v>96</v>
      </c>
    </row>
    <row r="6" spans="1:9" x14ac:dyDescent="0.2">
      <c r="A6" t="s">
        <v>52</v>
      </c>
      <c r="B6" s="5">
        <v>7.1999999999999995E-2</v>
      </c>
      <c r="C6">
        <v>1</v>
      </c>
      <c r="D6" s="22">
        <v>0.30876000000000003</v>
      </c>
      <c r="E6">
        <v>1</v>
      </c>
      <c r="F6">
        <v>55.79</v>
      </c>
      <c r="G6">
        <v>4</v>
      </c>
      <c r="H6">
        <v>2</v>
      </c>
      <c r="I6">
        <f t="shared" ref="I6:I13" si="0">(C6*0.4)+(E6*0.3)+(G6*0.1)+(H6*0.2)</f>
        <v>1.5</v>
      </c>
    </row>
    <row r="7" spans="1:9" x14ac:dyDescent="0.2">
      <c r="A7" t="s">
        <v>53</v>
      </c>
      <c r="B7" s="5">
        <v>5.1720000000000009E-2</v>
      </c>
      <c r="C7">
        <v>2</v>
      </c>
      <c r="D7" s="22">
        <v>0.57506000000000002</v>
      </c>
      <c r="E7">
        <v>2</v>
      </c>
      <c r="F7">
        <v>47.48</v>
      </c>
      <c r="G7">
        <v>3</v>
      </c>
      <c r="H7">
        <v>1</v>
      </c>
      <c r="I7">
        <f t="shared" si="0"/>
        <v>1.9</v>
      </c>
    </row>
    <row r="8" spans="1:9" x14ac:dyDescent="0.2">
      <c r="A8" t="s">
        <v>54</v>
      </c>
      <c r="B8" s="5">
        <v>8.1360000000000016E-2</v>
      </c>
      <c r="C8">
        <v>1</v>
      </c>
      <c r="D8" s="22">
        <v>0.34303999999999996</v>
      </c>
      <c r="E8">
        <v>1</v>
      </c>
      <c r="F8">
        <v>51.53</v>
      </c>
      <c r="G8">
        <v>4</v>
      </c>
      <c r="H8">
        <v>2</v>
      </c>
      <c r="I8">
        <f t="shared" si="0"/>
        <v>1.5</v>
      </c>
    </row>
    <row r="9" spans="1:9" x14ac:dyDescent="0.2">
      <c r="A9" t="s">
        <v>55</v>
      </c>
      <c r="B9" s="5">
        <v>4.5399999999999998E-3</v>
      </c>
      <c r="C9">
        <v>5</v>
      </c>
      <c r="D9" s="22">
        <v>0.63317999999999997</v>
      </c>
      <c r="E9">
        <v>2</v>
      </c>
      <c r="F9">
        <v>60.06</v>
      </c>
      <c r="G9">
        <v>4</v>
      </c>
      <c r="H9">
        <v>2</v>
      </c>
      <c r="I9">
        <f t="shared" si="0"/>
        <v>3.4</v>
      </c>
    </row>
    <row r="10" spans="1:9" x14ac:dyDescent="0.2">
      <c r="A10" t="s">
        <v>56</v>
      </c>
      <c r="B10" s="5">
        <v>3.116E-2</v>
      </c>
      <c r="C10">
        <v>3</v>
      </c>
      <c r="D10" s="22">
        <v>0.40045999999999998</v>
      </c>
      <c r="E10">
        <v>1</v>
      </c>
      <c r="F10">
        <v>44.85</v>
      </c>
      <c r="G10">
        <v>2</v>
      </c>
      <c r="H10">
        <v>1</v>
      </c>
      <c r="I10">
        <f t="shared" si="0"/>
        <v>1.9000000000000001</v>
      </c>
    </row>
    <row r="11" spans="1:9" x14ac:dyDescent="0.2">
      <c r="A11" t="s">
        <v>57</v>
      </c>
      <c r="B11" s="5">
        <v>6.6660000000000011E-2</v>
      </c>
      <c r="C11">
        <v>2</v>
      </c>
      <c r="D11" s="22">
        <v>0.52937999999999996</v>
      </c>
      <c r="E11">
        <v>2</v>
      </c>
      <c r="F11">
        <v>49.51</v>
      </c>
      <c r="G11">
        <v>3</v>
      </c>
      <c r="H11">
        <v>1</v>
      </c>
      <c r="I11">
        <f t="shared" si="0"/>
        <v>1.9</v>
      </c>
    </row>
    <row r="12" spans="1:9" x14ac:dyDescent="0.2">
      <c r="A12" t="s">
        <v>58</v>
      </c>
      <c r="B12" s="5">
        <v>6.2280000000000002E-2</v>
      </c>
      <c r="C12">
        <v>2</v>
      </c>
      <c r="D12" s="22">
        <v>0.55759999999999998</v>
      </c>
      <c r="E12">
        <v>2</v>
      </c>
      <c r="F12">
        <v>44.56</v>
      </c>
      <c r="G12">
        <v>2</v>
      </c>
      <c r="H12">
        <v>1</v>
      </c>
      <c r="I12">
        <f t="shared" si="0"/>
        <v>1.7999999999999998</v>
      </c>
    </row>
    <row r="13" spans="1:9" x14ac:dyDescent="0.2">
      <c r="A13" t="s">
        <v>59</v>
      </c>
      <c r="B13" s="5">
        <v>4.8999999999999998E-3</v>
      </c>
      <c r="C13">
        <v>5</v>
      </c>
      <c r="D13" s="22">
        <v>0.80025999999999997</v>
      </c>
      <c r="E13">
        <v>3</v>
      </c>
      <c r="F13">
        <v>48.68</v>
      </c>
      <c r="G13">
        <v>3</v>
      </c>
      <c r="H13">
        <v>2</v>
      </c>
      <c r="I13">
        <f t="shared" si="0"/>
        <v>3.6</v>
      </c>
    </row>
    <row r="14" spans="1:9" x14ac:dyDescent="0.2">
      <c r="A14" t="s">
        <v>60</v>
      </c>
      <c r="B14" s="5">
        <v>1.7500000000000002E-2</v>
      </c>
      <c r="C14">
        <v>4</v>
      </c>
      <c r="D14" s="22">
        <v>0.98799999999999999</v>
      </c>
      <c r="E14">
        <v>4</v>
      </c>
      <c r="F14">
        <v>55</v>
      </c>
      <c r="G14">
        <v>4</v>
      </c>
      <c r="H14">
        <v>1</v>
      </c>
      <c r="I14">
        <v>3.4</v>
      </c>
    </row>
    <row r="15" spans="1:9" x14ac:dyDescent="0.2">
      <c r="A15" t="s">
        <v>61</v>
      </c>
      <c r="B15" s="5">
        <v>1.9880000000000002E-2</v>
      </c>
      <c r="C15">
        <v>4</v>
      </c>
      <c r="D15" s="22">
        <v>1.01972</v>
      </c>
      <c r="E15">
        <v>4</v>
      </c>
      <c r="F15">
        <v>39.119999999999997</v>
      </c>
      <c r="G15">
        <v>2</v>
      </c>
      <c r="H15">
        <v>1</v>
      </c>
      <c r="I15">
        <f>(C15*0.4)+(E15*0.3)+(G15*0.1)+(H15*0.2)</f>
        <v>3.2</v>
      </c>
    </row>
    <row r="16" spans="1:9" x14ac:dyDescent="0.2">
      <c r="A16" t="s">
        <v>62</v>
      </c>
      <c r="B16" s="5">
        <v>2.4399999999999998E-2</v>
      </c>
      <c r="C16">
        <v>3</v>
      </c>
      <c r="D16" s="22">
        <v>0.64517999999999998</v>
      </c>
      <c r="E16">
        <v>2</v>
      </c>
      <c r="F16">
        <v>50.51</v>
      </c>
      <c r="G16">
        <v>3</v>
      </c>
      <c r="H16">
        <v>1</v>
      </c>
      <c r="I16">
        <f>(C16*0.4)+(E16*0.3)+(G16*0.1)+(H16*0.2)</f>
        <v>2.3000000000000007</v>
      </c>
    </row>
    <row r="17" spans="1:9" x14ac:dyDescent="0.2">
      <c r="A17" t="s">
        <v>63</v>
      </c>
      <c r="B17" s="5">
        <v>4.6599999999999996E-2</v>
      </c>
      <c r="C17">
        <v>2</v>
      </c>
      <c r="D17" s="22">
        <v>0.7209000000000001</v>
      </c>
      <c r="E17">
        <v>3</v>
      </c>
      <c r="F17">
        <v>45.96</v>
      </c>
      <c r="G17">
        <v>3</v>
      </c>
      <c r="H17">
        <v>1</v>
      </c>
      <c r="I17">
        <f>(C17*0.4)+(E17*0.3)+(G17*0.1)+(H17*0.2)</f>
        <v>2.2000000000000002</v>
      </c>
    </row>
    <row r="18" spans="1:9" x14ac:dyDescent="0.2">
      <c r="A18" t="s">
        <v>64</v>
      </c>
      <c r="B18" s="5">
        <v>7.1000000000000004E-3</v>
      </c>
      <c r="C18">
        <v>5</v>
      </c>
      <c r="D18" s="22">
        <v>0.50923999999999991</v>
      </c>
      <c r="E18">
        <v>2</v>
      </c>
      <c r="F18">
        <v>48.15</v>
      </c>
      <c r="G18">
        <v>3</v>
      </c>
      <c r="H18">
        <v>2</v>
      </c>
      <c r="I18">
        <f>(C18*0.4)+(E18*0.3)+(G18*0.1)+(H18*0.2)</f>
        <v>3.3000000000000003</v>
      </c>
    </row>
    <row r="19" spans="1:9" x14ac:dyDescent="0.2">
      <c r="A19" t="s">
        <v>65</v>
      </c>
      <c r="B19" s="5">
        <v>4.5600000000000002E-2</v>
      </c>
      <c r="C19">
        <v>2</v>
      </c>
      <c r="D19" s="22">
        <v>0.52490000000000003</v>
      </c>
      <c r="E19">
        <v>2</v>
      </c>
      <c r="F19">
        <v>55.03</v>
      </c>
      <c r="G19">
        <v>4</v>
      </c>
      <c r="H19">
        <v>1</v>
      </c>
      <c r="I19">
        <f>(C19*0.4)+(E19*0.3)+(G19*0.1)+(H19*0.2)</f>
        <v>1.9999999999999998</v>
      </c>
    </row>
    <row r="20" spans="1:9" x14ac:dyDescent="0.2">
      <c r="A20" t="s">
        <v>66</v>
      </c>
      <c r="B20" s="5">
        <v>5.1999999999999998E-2</v>
      </c>
      <c r="C20">
        <v>2</v>
      </c>
      <c r="D20" s="22">
        <v>1.573</v>
      </c>
      <c r="E20">
        <v>5</v>
      </c>
      <c r="F20">
        <v>60</v>
      </c>
      <c r="G20">
        <v>4</v>
      </c>
      <c r="H20">
        <v>1</v>
      </c>
      <c r="I20">
        <v>2.9</v>
      </c>
    </row>
    <row r="21" spans="1:9" x14ac:dyDescent="0.2">
      <c r="A21" t="s">
        <v>67</v>
      </c>
      <c r="B21" s="5">
        <v>5.3999999999999999E-2</v>
      </c>
      <c r="C21">
        <v>2</v>
      </c>
      <c r="D21" s="22">
        <v>3.5000000000000003E-2</v>
      </c>
      <c r="E21">
        <v>1</v>
      </c>
      <c r="F21">
        <v>54.4</v>
      </c>
      <c r="G21">
        <v>4</v>
      </c>
      <c r="H21">
        <v>1</v>
      </c>
      <c r="I21">
        <f>(C21*0.4)+(E21*0.3)+(G21*0.1)+(H21*0.2)</f>
        <v>1.7</v>
      </c>
    </row>
    <row r="22" spans="1:9" x14ac:dyDescent="0.2">
      <c r="A22" t="s">
        <v>68</v>
      </c>
      <c r="B22" s="5">
        <v>5.1560000000000009E-2</v>
      </c>
      <c r="C22">
        <v>2</v>
      </c>
      <c r="D22" s="27">
        <v>0.32100000000000001</v>
      </c>
      <c r="E22">
        <v>1</v>
      </c>
      <c r="F22">
        <v>49.94</v>
      </c>
      <c r="G22">
        <v>3</v>
      </c>
      <c r="H22">
        <v>1</v>
      </c>
      <c r="I22">
        <f>(C22*0.4)+(E22*0.3)+(G22*0.1)+(H22*0.2)</f>
        <v>1.6</v>
      </c>
    </row>
    <row r="23" spans="1:9" x14ac:dyDescent="0.2">
      <c r="A23" t="s">
        <v>69</v>
      </c>
      <c r="B23" s="5">
        <v>7.2819999999999996E-2</v>
      </c>
      <c r="C23">
        <v>1</v>
      </c>
      <c r="D23" s="22">
        <v>0.1105</v>
      </c>
      <c r="E23">
        <v>1</v>
      </c>
      <c r="F23">
        <v>49.03</v>
      </c>
      <c r="G23">
        <v>3</v>
      </c>
      <c r="H23">
        <v>1</v>
      </c>
      <c r="I23">
        <f>(C23*0.4)+(E23*0.3)+(G23*0.1)+(H23*0.2)</f>
        <v>1.2</v>
      </c>
    </row>
    <row r="24" spans="1:9" x14ac:dyDescent="0.2">
      <c r="A24" t="s">
        <v>70</v>
      </c>
      <c r="B24" s="5">
        <v>0.11543999999999999</v>
      </c>
      <c r="C24">
        <v>1</v>
      </c>
      <c r="D24" s="22">
        <v>0.1825</v>
      </c>
      <c r="E24">
        <v>1</v>
      </c>
      <c r="F24">
        <v>31.84</v>
      </c>
      <c r="G24">
        <v>1</v>
      </c>
      <c r="H24">
        <v>1</v>
      </c>
      <c r="I24">
        <f>(C24*0.4)+(E24*0.3)+(G24*0.1)+(H24*0.2)</f>
        <v>1</v>
      </c>
    </row>
    <row r="25" spans="1:9" x14ac:dyDescent="0.2">
      <c r="A25" t="s">
        <v>71</v>
      </c>
      <c r="B25" s="5">
        <v>5.5039999999999999E-2</v>
      </c>
      <c r="C25">
        <v>2</v>
      </c>
      <c r="D25" s="22">
        <v>0.52693999999999996</v>
      </c>
      <c r="E25">
        <v>2</v>
      </c>
      <c r="F25">
        <v>60.73</v>
      </c>
      <c r="G25">
        <v>4</v>
      </c>
      <c r="H25">
        <v>1</v>
      </c>
      <c r="I25">
        <f>(C25*0.4)+(E25*0.3)+(G25*0.1)+(H25*0.2)</f>
        <v>1.9999999999999998</v>
      </c>
    </row>
  </sheetData>
  <mergeCells count="6">
    <mergeCell ref="B5:C5"/>
    <mergeCell ref="D5:E5"/>
    <mergeCell ref="B1:C1"/>
    <mergeCell ref="B2:C2"/>
    <mergeCell ref="D1:E1"/>
    <mergeCell ref="D2:E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D6E1EA-A801-480C-B046-DF1CF0544BBA}">
  <dimension ref="A1:I24"/>
  <sheetViews>
    <sheetView topLeftCell="E1" zoomScale="74" workbookViewId="0">
      <selection activeCell="I6" sqref="I6"/>
    </sheetView>
  </sheetViews>
  <sheetFormatPr baseColWidth="10" defaultColWidth="8.83203125" defaultRowHeight="15" x14ac:dyDescent="0.2"/>
  <cols>
    <col min="1" max="1" width="26.83203125" customWidth="1"/>
    <col min="2" max="5" width="14.33203125" customWidth="1"/>
    <col min="6" max="6" width="14.83203125" customWidth="1"/>
    <col min="7" max="7" width="15.5" customWidth="1"/>
    <col min="8" max="9" width="26.6640625" customWidth="1"/>
  </cols>
  <sheetData>
    <row r="1" spans="1:9" x14ac:dyDescent="0.2">
      <c r="A1" t="s">
        <v>92</v>
      </c>
      <c r="B1" s="46"/>
      <c r="C1" s="46"/>
      <c r="D1" s="28"/>
    </row>
    <row r="2" spans="1:9" x14ac:dyDescent="0.2">
      <c r="A2" t="s">
        <v>93</v>
      </c>
      <c r="B2" s="46"/>
      <c r="C2" s="46"/>
      <c r="D2" s="46"/>
      <c r="E2" s="46"/>
    </row>
    <row r="4" spans="1:9" x14ac:dyDescent="0.2">
      <c r="B4" s="3" t="s">
        <v>21</v>
      </c>
      <c r="C4" s="3" t="s">
        <v>22</v>
      </c>
      <c r="D4" s="3" t="s">
        <v>21</v>
      </c>
      <c r="E4" s="3" t="s">
        <v>22</v>
      </c>
      <c r="F4" t="s">
        <v>94</v>
      </c>
      <c r="G4" t="s">
        <v>22</v>
      </c>
    </row>
    <row r="5" spans="1:9" x14ac:dyDescent="0.2">
      <c r="A5" s="2" t="s">
        <v>25</v>
      </c>
      <c r="B5" s="45" t="s">
        <v>26</v>
      </c>
      <c r="C5" s="45"/>
      <c r="D5" s="45" t="s">
        <v>27</v>
      </c>
      <c r="E5" s="45"/>
      <c r="F5" s="45" t="s">
        <v>28</v>
      </c>
      <c r="G5" s="45"/>
      <c r="H5" s="2" t="s">
        <v>29</v>
      </c>
      <c r="I5" s="2" t="s">
        <v>96</v>
      </c>
    </row>
    <row r="6" spans="1:9" x14ac:dyDescent="0.2">
      <c r="A6" t="s">
        <v>72</v>
      </c>
      <c r="B6">
        <v>1.7</v>
      </c>
      <c r="C6">
        <v>5</v>
      </c>
      <c r="D6">
        <v>172.18</v>
      </c>
      <c r="E6">
        <v>5</v>
      </c>
      <c r="F6">
        <v>66.81</v>
      </c>
      <c r="G6">
        <v>5</v>
      </c>
      <c r="H6">
        <v>2</v>
      </c>
      <c r="I6">
        <f t="shared" ref="I6:I24" si="0">C6*0.4 + E6*0.3 + G6*0.1 + H6*0.2</f>
        <v>4.4000000000000004</v>
      </c>
    </row>
    <row r="7" spans="1:9" x14ac:dyDescent="0.2">
      <c r="A7" t="s">
        <v>73</v>
      </c>
      <c r="B7">
        <v>1.7</v>
      </c>
      <c r="C7">
        <v>5</v>
      </c>
      <c r="D7">
        <v>122.55</v>
      </c>
      <c r="E7">
        <v>5</v>
      </c>
      <c r="F7">
        <v>62.42</v>
      </c>
      <c r="G7">
        <v>5</v>
      </c>
      <c r="H7">
        <v>2</v>
      </c>
      <c r="I7">
        <f t="shared" si="0"/>
        <v>4.4000000000000004</v>
      </c>
    </row>
    <row r="8" spans="1:9" x14ac:dyDescent="0.2">
      <c r="A8" t="s">
        <v>74</v>
      </c>
      <c r="B8">
        <v>2.9060000000000001</v>
      </c>
      <c r="C8">
        <v>3</v>
      </c>
      <c r="D8">
        <v>36.72</v>
      </c>
      <c r="E8">
        <v>1</v>
      </c>
      <c r="F8">
        <v>53.68</v>
      </c>
      <c r="G8">
        <v>4</v>
      </c>
      <c r="H8">
        <v>2</v>
      </c>
      <c r="I8">
        <f t="shared" si="0"/>
        <v>2.3000000000000003</v>
      </c>
    </row>
    <row r="9" spans="1:9" x14ac:dyDescent="0.2">
      <c r="A9" t="s">
        <v>75</v>
      </c>
      <c r="B9">
        <v>1.7</v>
      </c>
      <c r="C9">
        <v>5</v>
      </c>
      <c r="D9">
        <v>116.41</v>
      </c>
      <c r="E9">
        <v>5</v>
      </c>
      <c r="F9">
        <v>71.459999999999994</v>
      </c>
      <c r="G9">
        <v>5</v>
      </c>
      <c r="H9">
        <v>2</v>
      </c>
      <c r="I9">
        <f t="shared" si="0"/>
        <v>4.4000000000000004</v>
      </c>
    </row>
    <row r="10" spans="1:9" x14ac:dyDescent="0.2">
      <c r="A10" t="s">
        <v>76</v>
      </c>
      <c r="B10">
        <v>1.7</v>
      </c>
      <c r="C10">
        <v>5</v>
      </c>
      <c r="D10">
        <v>81.12</v>
      </c>
      <c r="E10">
        <v>3</v>
      </c>
      <c r="F10">
        <v>70.56</v>
      </c>
      <c r="G10">
        <v>5</v>
      </c>
      <c r="H10">
        <v>2</v>
      </c>
      <c r="I10">
        <f t="shared" si="0"/>
        <v>3.8</v>
      </c>
    </row>
    <row r="11" spans="1:9" x14ac:dyDescent="0.2">
      <c r="A11" t="s">
        <v>77</v>
      </c>
      <c r="B11">
        <v>1.7</v>
      </c>
      <c r="C11">
        <v>5</v>
      </c>
      <c r="D11">
        <v>64.739999999999995</v>
      </c>
      <c r="E11">
        <v>3</v>
      </c>
      <c r="F11">
        <v>66.489999999999995</v>
      </c>
      <c r="G11">
        <v>5</v>
      </c>
      <c r="H11">
        <v>2</v>
      </c>
      <c r="I11">
        <f t="shared" si="0"/>
        <v>3.8</v>
      </c>
    </row>
    <row r="12" spans="1:9" x14ac:dyDescent="0.2">
      <c r="A12" t="s">
        <v>78</v>
      </c>
      <c r="B12">
        <v>1.7</v>
      </c>
      <c r="C12">
        <v>5</v>
      </c>
      <c r="D12">
        <v>89.72</v>
      </c>
      <c r="E12">
        <v>4</v>
      </c>
      <c r="F12">
        <v>68.62</v>
      </c>
      <c r="G12">
        <v>4</v>
      </c>
      <c r="H12">
        <v>2</v>
      </c>
      <c r="I12">
        <f t="shared" si="0"/>
        <v>4</v>
      </c>
    </row>
    <row r="13" spans="1:9" x14ac:dyDescent="0.2">
      <c r="A13" t="s">
        <v>79</v>
      </c>
      <c r="B13">
        <v>5.8620000000000001</v>
      </c>
      <c r="C13">
        <v>2</v>
      </c>
      <c r="D13">
        <v>43.78</v>
      </c>
      <c r="E13">
        <v>1</v>
      </c>
      <c r="F13">
        <v>45.41</v>
      </c>
      <c r="G13">
        <v>3</v>
      </c>
      <c r="H13">
        <v>2</v>
      </c>
      <c r="I13">
        <f t="shared" si="0"/>
        <v>1.8000000000000003</v>
      </c>
    </row>
    <row r="14" spans="1:9" x14ac:dyDescent="0.2">
      <c r="A14" t="s">
        <v>80</v>
      </c>
      <c r="B14">
        <v>1.986</v>
      </c>
      <c r="C14">
        <v>4</v>
      </c>
      <c r="D14">
        <v>39.520000000000003</v>
      </c>
      <c r="E14">
        <v>1</v>
      </c>
      <c r="F14">
        <v>50.87</v>
      </c>
      <c r="G14">
        <v>4</v>
      </c>
      <c r="H14">
        <v>1</v>
      </c>
      <c r="I14">
        <f t="shared" si="0"/>
        <v>2.5000000000000004</v>
      </c>
    </row>
    <row r="15" spans="1:9" x14ac:dyDescent="0.2">
      <c r="A15" t="s">
        <v>81</v>
      </c>
      <c r="B15">
        <v>0.94599999999999995</v>
      </c>
      <c r="C15">
        <v>5</v>
      </c>
      <c r="D15">
        <v>56.18</v>
      </c>
      <c r="E15">
        <v>2</v>
      </c>
      <c r="F15">
        <v>51.54</v>
      </c>
      <c r="G15">
        <v>4</v>
      </c>
      <c r="H15">
        <v>1</v>
      </c>
      <c r="I15">
        <f t="shared" si="0"/>
        <v>3.2</v>
      </c>
    </row>
    <row r="16" spans="1:9" x14ac:dyDescent="0.2">
      <c r="A16" t="s">
        <v>82</v>
      </c>
      <c r="B16">
        <v>1.7</v>
      </c>
      <c r="C16">
        <v>5</v>
      </c>
      <c r="D16">
        <v>64.12</v>
      </c>
      <c r="E16">
        <v>2</v>
      </c>
      <c r="F16">
        <v>62.72</v>
      </c>
      <c r="G16">
        <v>5</v>
      </c>
      <c r="H16">
        <v>2</v>
      </c>
      <c r="I16">
        <f t="shared" si="0"/>
        <v>3.5</v>
      </c>
    </row>
    <row r="17" spans="1:9" x14ac:dyDescent="0.2">
      <c r="A17" t="s">
        <v>83</v>
      </c>
      <c r="B17">
        <v>4.0419999999999998</v>
      </c>
      <c r="C17">
        <v>2</v>
      </c>
      <c r="D17">
        <v>81.89</v>
      </c>
      <c r="E17">
        <v>3</v>
      </c>
      <c r="F17">
        <v>66.430000000000007</v>
      </c>
      <c r="G17">
        <v>5</v>
      </c>
      <c r="H17">
        <v>3</v>
      </c>
      <c r="I17">
        <f t="shared" si="0"/>
        <v>2.8000000000000003</v>
      </c>
    </row>
    <row r="18" spans="1:9" x14ac:dyDescent="0.2">
      <c r="A18" t="s">
        <v>84</v>
      </c>
      <c r="B18">
        <v>1.7</v>
      </c>
      <c r="C18">
        <v>5</v>
      </c>
      <c r="D18">
        <v>158.84</v>
      </c>
      <c r="E18">
        <v>5</v>
      </c>
      <c r="F18">
        <v>68.06</v>
      </c>
      <c r="G18">
        <v>5</v>
      </c>
      <c r="H18">
        <v>2</v>
      </c>
      <c r="I18">
        <f t="shared" si="0"/>
        <v>4.4000000000000004</v>
      </c>
    </row>
    <row r="19" spans="1:9" x14ac:dyDescent="0.2">
      <c r="A19" t="s">
        <v>85</v>
      </c>
      <c r="B19">
        <v>3.69</v>
      </c>
      <c r="C19">
        <v>3</v>
      </c>
      <c r="D19">
        <v>74.61</v>
      </c>
      <c r="E19">
        <v>3</v>
      </c>
      <c r="F19">
        <v>46.43</v>
      </c>
      <c r="G19">
        <v>3</v>
      </c>
      <c r="H19">
        <v>2</v>
      </c>
      <c r="I19">
        <f t="shared" si="0"/>
        <v>2.8000000000000003</v>
      </c>
    </row>
    <row r="20" spans="1:9" x14ac:dyDescent="0.2">
      <c r="A20" t="s">
        <v>86</v>
      </c>
      <c r="B20">
        <v>1.7</v>
      </c>
      <c r="C20">
        <v>5</v>
      </c>
      <c r="D20">
        <v>93.89</v>
      </c>
      <c r="E20">
        <v>4</v>
      </c>
      <c r="F20">
        <v>71.91</v>
      </c>
      <c r="G20">
        <v>5</v>
      </c>
      <c r="H20">
        <v>2</v>
      </c>
      <c r="I20">
        <f t="shared" si="0"/>
        <v>4.1000000000000005</v>
      </c>
    </row>
    <row r="21" spans="1:9" x14ac:dyDescent="0.2">
      <c r="A21" t="s">
        <v>87</v>
      </c>
      <c r="B21">
        <v>2.452</v>
      </c>
      <c r="C21">
        <v>3</v>
      </c>
      <c r="D21">
        <v>130.91</v>
      </c>
      <c r="E21">
        <v>5</v>
      </c>
      <c r="F21">
        <v>66.03</v>
      </c>
      <c r="G21">
        <v>5</v>
      </c>
      <c r="H21">
        <v>1</v>
      </c>
      <c r="I21">
        <f t="shared" si="0"/>
        <v>3.4000000000000004</v>
      </c>
    </row>
    <row r="22" spans="1:9" x14ac:dyDescent="0.2">
      <c r="A22" t="s">
        <v>88</v>
      </c>
      <c r="B22">
        <v>0</v>
      </c>
      <c r="C22">
        <v>5</v>
      </c>
      <c r="D22" s="19">
        <f>(21.9+482)/1042 * 100</f>
        <v>48.358925143953932</v>
      </c>
      <c r="E22">
        <v>2</v>
      </c>
      <c r="F22">
        <v>66.5</v>
      </c>
      <c r="G22">
        <v>5</v>
      </c>
      <c r="H22">
        <v>1</v>
      </c>
      <c r="I22">
        <f t="shared" si="0"/>
        <v>3.3000000000000003</v>
      </c>
    </row>
    <row r="23" spans="1:9" x14ac:dyDescent="0.2">
      <c r="A23" t="s">
        <v>89</v>
      </c>
      <c r="B23">
        <v>2.63</v>
      </c>
      <c r="C23">
        <v>3</v>
      </c>
      <c r="D23">
        <f>(357+385)/ 514.1 * 100</f>
        <v>144.32989690721649</v>
      </c>
      <c r="E23">
        <v>5</v>
      </c>
      <c r="F23">
        <v>54.8</v>
      </c>
      <c r="G23">
        <v>4</v>
      </c>
      <c r="H23">
        <v>3</v>
      </c>
      <c r="I23">
        <f t="shared" si="0"/>
        <v>3.7</v>
      </c>
    </row>
    <row r="24" spans="1:9" x14ac:dyDescent="0.2">
      <c r="A24" t="s">
        <v>90</v>
      </c>
      <c r="B24">
        <v>1.526</v>
      </c>
      <c r="C24">
        <v>5</v>
      </c>
      <c r="D24">
        <v>63.58</v>
      </c>
      <c r="E24">
        <v>2</v>
      </c>
      <c r="F24">
        <v>61.02</v>
      </c>
      <c r="G24">
        <v>5</v>
      </c>
      <c r="H24">
        <v>1</v>
      </c>
      <c r="I24">
        <f t="shared" si="0"/>
        <v>3.3000000000000003</v>
      </c>
    </row>
  </sheetData>
  <mergeCells count="6">
    <mergeCell ref="F5:G5"/>
    <mergeCell ref="B5:C5"/>
    <mergeCell ref="D5:E5"/>
    <mergeCell ref="B1:C1"/>
    <mergeCell ref="B2:C2"/>
    <mergeCell ref="D2:E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34954F-CB9E-4890-AA16-664B3D4D3EEE}">
  <dimension ref="A1:C24"/>
  <sheetViews>
    <sheetView workbookViewId="0">
      <selection activeCell="C17" sqref="C17"/>
    </sheetView>
  </sheetViews>
  <sheetFormatPr baseColWidth="10" defaultColWidth="8.83203125" defaultRowHeight="15" x14ac:dyDescent="0.2"/>
  <cols>
    <col min="1" max="3" width="36.1640625" customWidth="1"/>
  </cols>
  <sheetData>
    <row r="1" spans="1:3" x14ac:dyDescent="0.2">
      <c r="A1" t="s">
        <v>98</v>
      </c>
    </row>
    <row r="3" spans="1:3" x14ac:dyDescent="0.2">
      <c r="A3" s="2" t="s">
        <v>99</v>
      </c>
      <c r="B3" s="2" t="s">
        <v>100</v>
      </c>
      <c r="C3" s="2" t="s">
        <v>101</v>
      </c>
    </row>
    <row r="4" spans="1:3" x14ac:dyDescent="0.2">
      <c r="A4" t="s">
        <v>31</v>
      </c>
      <c r="B4" t="s">
        <v>52</v>
      </c>
      <c r="C4" t="s">
        <v>72</v>
      </c>
    </row>
    <row r="5" spans="1:3" x14ac:dyDescent="0.2">
      <c r="A5" t="s">
        <v>32</v>
      </c>
      <c r="B5" t="s">
        <v>53</v>
      </c>
      <c r="C5" t="s">
        <v>73</v>
      </c>
    </row>
    <row r="6" spans="1:3" x14ac:dyDescent="0.2">
      <c r="A6" t="s">
        <v>33</v>
      </c>
      <c r="B6" t="s">
        <v>54</v>
      </c>
      <c r="C6" t="s">
        <v>74</v>
      </c>
    </row>
    <row r="7" spans="1:3" x14ac:dyDescent="0.2">
      <c r="A7" t="s">
        <v>34</v>
      </c>
      <c r="B7" t="s">
        <v>55</v>
      </c>
      <c r="C7" t="s">
        <v>75</v>
      </c>
    </row>
    <row r="8" spans="1:3" x14ac:dyDescent="0.2">
      <c r="A8" t="s">
        <v>35</v>
      </c>
      <c r="B8" t="s">
        <v>56</v>
      </c>
      <c r="C8" t="s">
        <v>76</v>
      </c>
    </row>
    <row r="9" spans="1:3" x14ac:dyDescent="0.2">
      <c r="A9" t="s">
        <v>36</v>
      </c>
      <c r="B9" t="s">
        <v>57</v>
      </c>
      <c r="C9" t="s">
        <v>77</v>
      </c>
    </row>
    <row r="10" spans="1:3" x14ac:dyDescent="0.2">
      <c r="A10" t="s">
        <v>37</v>
      </c>
      <c r="B10" t="s">
        <v>58</v>
      </c>
      <c r="C10" t="s">
        <v>78</v>
      </c>
    </row>
    <row r="11" spans="1:3" x14ac:dyDescent="0.2">
      <c r="A11" t="s">
        <v>38</v>
      </c>
      <c r="B11" t="s">
        <v>59</v>
      </c>
      <c r="C11" t="s">
        <v>79</v>
      </c>
    </row>
    <row r="12" spans="1:3" x14ac:dyDescent="0.2">
      <c r="A12" t="s">
        <v>39</v>
      </c>
      <c r="B12" t="s">
        <v>60</v>
      </c>
      <c r="C12" t="s">
        <v>80</v>
      </c>
    </row>
    <row r="13" spans="1:3" x14ac:dyDescent="0.2">
      <c r="A13" t="s">
        <v>40</v>
      </c>
      <c r="B13" t="s">
        <v>61</v>
      </c>
      <c r="C13" t="s">
        <v>81</v>
      </c>
    </row>
    <row r="14" spans="1:3" x14ac:dyDescent="0.2">
      <c r="A14" t="s">
        <v>41</v>
      </c>
      <c r="B14" t="s">
        <v>62</v>
      </c>
      <c r="C14" t="s">
        <v>82</v>
      </c>
    </row>
    <row r="15" spans="1:3" x14ac:dyDescent="0.2">
      <c r="A15" t="s">
        <v>42</v>
      </c>
      <c r="B15" t="s">
        <v>63</v>
      </c>
      <c r="C15" t="s">
        <v>83</v>
      </c>
    </row>
    <row r="16" spans="1:3" x14ac:dyDescent="0.2">
      <c r="A16" t="s">
        <v>43</v>
      </c>
      <c r="B16" t="s">
        <v>64</v>
      </c>
      <c r="C16" t="s">
        <v>84</v>
      </c>
    </row>
    <row r="17" spans="1:3" x14ac:dyDescent="0.2">
      <c r="A17" t="s">
        <v>44</v>
      </c>
      <c r="B17" t="s">
        <v>65</v>
      </c>
      <c r="C17" t="s">
        <v>85</v>
      </c>
    </row>
    <row r="18" spans="1:3" x14ac:dyDescent="0.2">
      <c r="A18" t="s">
        <v>45</v>
      </c>
      <c r="B18" t="s">
        <v>66</v>
      </c>
      <c r="C18" t="s">
        <v>86</v>
      </c>
    </row>
    <row r="19" spans="1:3" x14ac:dyDescent="0.2">
      <c r="A19" t="s">
        <v>46</v>
      </c>
      <c r="B19" t="s">
        <v>67</v>
      </c>
      <c r="C19" t="s">
        <v>87</v>
      </c>
    </row>
    <row r="20" spans="1:3" x14ac:dyDescent="0.2">
      <c r="A20" t="s">
        <v>47</v>
      </c>
      <c r="B20" t="s">
        <v>68</v>
      </c>
      <c r="C20" t="s">
        <v>88</v>
      </c>
    </row>
    <row r="21" spans="1:3" x14ac:dyDescent="0.2">
      <c r="A21" t="s">
        <v>48</v>
      </c>
      <c r="B21" t="s">
        <v>69</v>
      </c>
      <c r="C21" t="s">
        <v>89</v>
      </c>
    </row>
    <row r="22" spans="1:3" x14ac:dyDescent="0.2">
      <c r="A22" t="s">
        <v>49</v>
      </c>
      <c r="B22" t="s">
        <v>70</v>
      </c>
      <c r="C22" t="s">
        <v>90</v>
      </c>
    </row>
    <row r="23" spans="1:3" x14ac:dyDescent="0.2">
      <c r="A23" t="s">
        <v>50</v>
      </c>
      <c r="B23" t="s">
        <v>71</v>
      </c>
    </row>
    <row r="24" spans="1:3" x14ac:dyDescent="0.2">
      <c r="A24" t="s">
        <v>51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8CBD7D-8CD7-4148-9BD9-43B4BE681AD2}">
  <dimension ref="A1:N183"/>
  <sheetViews>
    <sheetView workbookViewId="0">
      <selection activeCell="G33" sqref="G33"/>
    </sheetView>
  </sheetViews>
  <sheetFormatPr baseColWidth="10" defaultColWidth="8.83203125" defaultRowHeight="15" x14ac:dyDescent="0.2"/>
  <cols>
    <col min="9" max="14" width="14.5" customWidth="1"/>
  </cols>
  <sheetData>
    <row r="1" spans="1:14" ht="30" thickBot="1" x14ac:dyDescent="0.25">
      <c r="A1" s="9" t="s">
        <v>102</v>
      </c>
      <c r="B1" s="10">
        <v>2023</v>
      </c>
      <c r="C1" s="10">
        <v>2022</v>
      </c>
      <c r="D1" s="10">
        <v>2021</v>
      </c>
      <c r="E1" s="10">
        <v>2020</v>
      </c>
      <c r="F1" s="10">
        <v>2019</v>
      </c>
      <c r="G1" t="s">
        <v>103</v>
      </c>
      <c r="I1" t="s">
        <v>104</v>
      </c>
      <c r="J1" t="s">
        <v>105</v>
      </c>
      <c r="K1" t="s">
        <v>106</v>
      </c>
      <c r="L1" t="s">
        <v>107</v>
      </c>
      <c r="M1" t="s">
        <v>108</v>
      </c>
    </row>
    <row r="2" spans="1:14" ht="33" thickBot="1" x14ac:dyDescent="0.25">
      <c r="A2" s="4" t="s">
        <v>109</v>
      </c>
      <c r="B2" s="6">
        <v>3.9422000000000001</v>
      </c>
      <c r="C2" s="6">
        <v>3.8851</v>
      </c>
      <c r="D2" s="6">
        <v>3.9314</v>
      </c>
      <c r="E2" s="6">
        <v>3.7227000000000001</v>
      </c>
      <c r="F2" s="6">
        <v>3.8235000000000001</v>
      </c>
      <c r="G2" s="5">
        <f t="shared" ref="G2:G33" si="0">AVERAGE(B2:F2)</f>
        <v>3.8609800000000001</v>
      </c>
      <c r="I2">
        <f>_xlfn.PERCENTILE.INC(G2:G183,0.2)</f>
        <v>0.45798800000000001</v>
      </c>
      <c r="J2">
        <f>_xlfn.PERCENTILE.INC(G2:G183,0.4)</f>
        <v>0.64606799999999998</v>
      </c>
      <c r="K2">
        <f>_xlfn.PERCENTILE.INC(G2:G183,0.6)</f>
        <v>0.83568399999999998</v>
      </c>
      <c r="L2">
        <f>_xlfn.PERCENTILE.INC(G2:G183,0.8)</f>
        <v>1.096484</v>
      </c>
      <c r="M2">
        <f>_xlfn.PERCENTILE.INC(G2:G183,1)</f>
        <v>3.8609800000000001</v>
      </c>
    </row>
    <row r="3" spans="1:14" ht="33" thickBot="1" x14ac:dyDescent="0.25">
      <c r="A3" s="7" t="s">
        <v>110</v>
      </c>
      <c r="B3" s="8">
        <v>3.5158999999999998</v>
      </c>
      <c r="C3" s="8">
        <v>3.8485999999999998</v>
      </c>
      <c r="D3" s="8">
        <v>4.0246000000000004</v>
      </c>
      <c r="E3" s="8">
        <v>3.5068000000000001</v>
      </c>
      <c r="F3" s="8">
        <v>3.5373999999999999</v>
      </c>
      <c r="G3" s="5">
        <f t="shared" si="0"/>
        <v>3.6866599999999998</v>
      </c>
      <c r="I3">
        <f>I2*100</f>
        <v>45.7988</v>
      </c>
      <c r="J3">
        <f t="shared" ref="J3:M3" si="1">J2*100</f>
        <v>64.606799999999993</v>
      </c>
      <c r="K3">
        <f t="shared" si="1"/>
        <v>83.568399999999997</v>
      </c>
      <c r="L3">
        <f t="shared" si="1"/>
        <v>109.6484</v>
      </c>
      <c r="M3">
        <f t="shared" si="1"/>
        <v>386.09800000000001</v>
      </c>
    </row>
    <row r="4" spans="1:14" ht="17" thickBot="1" x14ac:dyDescent="0.25">
      <c r="A4" s="4" t="s">
        <v>111</v>
      </c>
      <c r="B4" s="6">
        <v>3.427</v>
      </c>
      <c r="C4" s="6">
        <v>3.4018999999999999</v>
      </c>
      <c r="D4" s="6">
        <v>2.6402000000000001</v>
      </c>
      <c r="E4" s="6">
        <v>2.2284000000000002</v>
      </c>
      <c r="F4" s="6">
        <v>3.2094</v>
      </c>
      <c r="G4" s="5">
        <f t="shared" si="0"/>
        <v>2.9813800000000006</v>
      </c>
      <c r="I4" s="16">
        <v>1</v>
      </c>
      <c r="J4" s="16">
        <v>2</v>
      </c>
      <c r="K4" s="16">
        <v>3</v>
      </c>
      <c r="L4" s="16">
        <v>4</v>
      </c>
      <c r="M4" s="16">
        <v>5</v>
      </c>
    </row>
    <row r="5" spans="1:14" ht="17" thickBot="1" x14ac:dyDescent="0.25">
      <c r="A5" s="7" t="s">
        <v>112</v>
      </c>
      <c r="B5" s="8">
        <v>3.14</v>
      </c>
      <c r="C5" s="8">
        <v>3.1867000000000001</v>
      </c>
      <c r="D5" s="8">
        <v>3.1467999999999998</v>
      </c>
      <c r="E5" s="8">
        <v>3.33</v>
      </c>
      <c r="F5" s="8">
        <v>3.0916999999999999</v>
      </c>
      <c r="G5" s="5">
        <f t="shared" si="0"/>
        <v>3.1790400000000001</v>
      </c>
    </row>
    <row r="6" spans="1:14" ht="17" thickBot="1" x14ac:dyDescent="0.25">
      <c r="A6" s="4" t="s">
        <v>113</v>
      </c>
      <c r="B6" s="6">
        <v>3.1124000000000001</v>
      </c>
      <c r="C6" s="6">
        <v>3.3298000000000001</v>
      </c>
      <c r="D6" s="6">
        <v>3.2978999999999998</v>
      </c>
      <c r="E6" s="6">
        <v>3.3169</v>
      </c>
      <c r="F6" s="6">
        <v>3.2307000000000001</v>
      </c>
      <c r="G6" s="5">
        <f t="shared" si="0"/>
        <v>3.2575400000000001</v>
      </c>
    </row>
    <row r="7" spans="1:14" ht="17" thickBot="1" x14ac:dyDescent="0.25">
      <c r="A7" s="7" t="s">
        <v>114</v>
      </c>
      <c r="B7" s="8">
        <v>2.3475000000000001</v>
      </c>
      <c r="C7" s="8">
        <v>2.3426999999999998</v>
      </c>
      <c r="D7" s="8">
        <v>2.274</v>
      </c>
      <c r="E7" s="8">
        <v>2.4706000000000001</v>
      </c>
      <c r="F7" s="8">
        <v>2.5249999999999999</v>
      </c>
      <c r="G7" s="5">
        <f t="shared" si="0"/>
        <v>2.3919600000000001</v>
      </c>
      <c r="I7" t="s">
        <v>115</v>
      </c>
      <c r="J7" s="26" t="s">
        <v>116</v>
      </c>
      <c r="K7" s="26" t="s">
        <v>117</v>
      </c>
      <c r="L7" s="26" t="s">
        <v>118</v>
      </c>
      <c r="M7" s="26" t="s">
        <v>119</v>
      </c>
      <c r="N7" s="26" t="s">
        <v>120</v>
      </c>
    </row>
    <row r="8" spans="1:14" ht="33" thickBot="1" x14ac:dyDescent="0.25">
      <c r="A8" s="4" t="s">
        <v>121</v>
      </c>
      <c r="B8" s="6">
        <v>1.8307</v>
      </c>
      <c r="C8" s="6">
        <v>1.8616999999999999</v>
      </c>
      <c r="D8" s="6">
        <v>1.8376999999999999</v>
      </c>
      <c r="E8" s="6">
        <v>1.5347999999999999</v>
      </c>
      <c r="F8" s="6">
        <v>1.7341</v>
      </c>
      <c r="G8" s="5">
        <f t="shared" si="0"/>
        <v>1.7597999999999998</v>
      </c>
      <c r="J8">
        <v>1</v>
      </c>
      <c r="K8">
        <v>2</v>
      </c>
      <c r="L8">
        <v>3</v>
      </c>
      <c r="M8">
        <v>4</v>
      </c>
      <c r="N8">
        <v>5</v>
      </c>
    </row>
    <row r="9" spans="1:14" ht="33" thickBot="1" x14ac:dyDescent="0.25">
      <c r="A9" s="7" t="s">
        <v>122</v>
      </c>
      <c r="B9" s="8">
        <v>1.8152999999999999</v>
      </c>
      <c r="C9" s="8">
        <v>2.0394999999999999</v>
      </c>
      <c r="D9" s="8">
        <v>1.8420000000000001</v>
      </c>
      <c r="E9" s="8">
        <v>1.6848000000000001</v>
      </c>
      <c r="F9" s="8">
        <v>1.8349</v>
      </c>
      <c r="G9" s="5">
        <f t="shared" si="0"/>
        <v>1.8432999999999999</v>
      </c>
    </row>
    <row r="10" spans="1:14" ht="17" thickBot="1" x14ac:dyDescent="0.25">
      <c r="A10" s="4" t="s">
        <v>123</v>
      </c>
      <c r="B10" s="6">
        <v>1.7962</v>
      </c>
      <c r="C10" s="6">
        <v>1.8976</v>
      </c>
      <c r="D10" s="6">
        <v>1.7485999999999999</v>
      </c>
      <c r="E10" s="6">
        <v>1.6273</v>
      </c>
      <c r="F10" s="6">
        <v>1.5194000000000001</v>
      </c>
      <c r="G10" s="5">
        <f t="shared" si="0"/>
        <v>1.7178200000000001</v>
      </c>
    </row>
    <row r="11" spans="1:14" ht="17" thickBot="1" x14ac:dyDescent="0.25">
      <c r="A11" s="7" t="s">
        <v>72</v>
      </c>
      <c r="B11" s="8">
        <v>1.7430000000000001</v>
      </c>
      <c r="C11" s="8">
        <v>1.9302999999999999</v>
      </c>
      <c r="D11" s="8">
        <v>1.7403999999999999</v>
      </c>
      <c r="E11" s="8">
        <v>1.5533999999999999</v>
      </c>
      <c r="F11" s="8">
        <v>1.6416999999999999</v>
      </c>
      <c r="G11" s="5">
        <f t="shared" si="0"/>
        <v>1.7217600000000002</v>
      </c>
    </row>
    <row r="12" spans="1:14" ht="17" thickBot="1" x14ac:dyDescent="0.25">
      <c r="A12" s="4" t="s">
        <v>124</v>
      </c>
      <c r="B12" s="6">
        <v>1.6133</v>
      </c>
      <c r="C12" s="6">
        <v>1.8603000000000001</v>
      </c>
      <c r="D12" s="6">
        <v>1.6129</v>
      </c>
      <c r="E12" s="6">
        <v>1.4659</v>
      </c>
      <c r="F12" s="6">
        <v>1.5864</v>
      </c>
      <c r="G12" s="5">
        <f t="shared" si="0"/>
        <v>1.6277599999999999</v>
      </c>
    </row>
    <row r="13" spans="1:14" ht="49" thickBot="1" x14ac:dyDescent="0.25">
      <c r="A13" s="7" t="s">
        <v>125</v>
      </c>
      <c r="B13" s="8">
        <v>1.591</v>
      </c>
      <c r="C13" s="8">
        <v>1.6881999999999999</v>
      </c>
      <c r="D13" s="8">
        <v>1.4672000000000001</v>
      </c>
      <c r="E13" s="8">
        <v>1.2824</v>
      </c>
      <c r="F13" s="8">
        <v>1.3857999999999999</v>
      </c>
      <c r="G13" s="5">
        <f t="shared" si="0"/>
        <v>1.4829199999999998</v>
      </c>
    </row>
    <row r="14" spans="1:14" ht="33" thickBot="1" x14ac:dyDescent="0.25">
      <c r="A14" s="4" t="s">
        <v>84</v>
      </c>
      <c r="B14" s="6">
        <v>1.5882000000000001</v>
      </c>
      <c r="C14" s="6">
        <v>1.7670999999999999</v>
      </c>
      <c r="D14" s="6">
        <v>1.5696000000000001</v>
      </c>
      <c r="E14" s="6">
        <v>1.4645999999999999</v>
      </c>
      <c r="F14" s="6">
        <v>1.5527</v>
      </c>
      <c r="G14" s="5">
        <f t="shared" si="0"/>
        <v>1.5884399999999999</v>
      </c>
    </row>
    <row r="15" spans="1:14" ht="17" thickBot="1" x14ac:dyDescent="0.25">
      <c r="A15" s="7" t="s">
        <v>126</v>
      </c>
      <c r="B15" s="8">
        <v>1.573</v>
      </c>
      <c r="C15" s="8">
        <v>1.8527</v>
      </c>
      <c r="D15" s="8">
        <v>1.5969</v>
      </c>
      <c r="E15" s="8">
        <v>1.5542</v>
      </c>
      <c r="F15" s="8">
        <v>1.6074999999999999</v>
      </c>
      <c r="G15" s="5">
        <f t="shared" si="0"/>
        <v>1.63686</v>
      </c>
    </row>
    <row r="16" spans="1:14" ht="17" thickBot="1" x14ac:dyDescent="0.25">
      <c r="A16" s="4" t="s">
        <v>127</v>
      </c>
      <c r="B16" s="6">
        <v>1.5616000000000001</v>
      </c>
      <c r="C16" s="6">
        <v>1.7209000000000001</v>
      </c>
      <c r="D16" s="6">
        <v>1.6153999999999999</v>
      </c>
      <c r="E16" s="6">
        <v>1.3897999999999999</v>
      </c>
      <c r="F16" s="6">
        <v>1.4266000000000001</v>
      </c>
      <c r="G16" s="5">
        <f t="shared" si="0"/>
        <v>1.5428599999999999</v>
      </c>
    </row>
    <row r="17" spans="1:7" ht="17" thickBot="1" x14ac:dyDescent="0.25">
      <c r="A17" s="7" t="s">
        <v>128</v>
      </c>
      <c r="B17" s="8">
        <v>1.5315000000000001</v>
      </c>
      <c r="C17" s="8">
        <v>1.7561</v>
      </c>
      <c r="D17" s="8">
        <v>1.5564</v>
      </c>
      <c r="E17" s="8">
        <v>1.3691</v>
      </c>
      <c r="F17" s="8">
        <v>1.4918</v>
      </c>
      <c r="G17" s="5">
        <f t="shared" si="0"/>
        <v>1.54098</v>
      </c>
    </row>
    <row r="18" spans="1:7" ht="17" thickBot="1" x14ac:dyDescent="0.25">
      <c r="A18" s="4" t="s">
        <v>129</v>
      </c>
      <c r="B18" s="6">
        <v>1.4723999999999999</v>
      </c>
      <c r="C18" s="6">
        <v>1.3633</v>
      </c>
      <c r="D18" s="6">
        <v>1.1910000000000001</v>
      </c>
      <c r="E18" s="6">
        <v>1.1284000000000001</v>
      </c>
      <c r="F18" s="6">
        <v>1.244</v>
      </c>
      <c r="G18" s="5">
        <f t="shared" si="0"/>
        <v>1.27982</v>
      </c>
    </row>
    <row r="19" spans="1:7" ht="17" thickBot="1" x14ac:dyDescent="0.25">
      <c r="A19" s="7" t="s">
        <v>130</v>
      </c>
      <c r="B19" s="8">
        <v>1.42</v>
      </c>
      <c r="C19" s="8">
        <v>1.7362</v>
      </c>
      <c r="D19" s="8">
        <v>1.6769000000000001</v>
      </c>
      <c r="E19" s="8">
        <v>1.2150000000000001</v>
      </c>
      <c r="F19" s="8">
        <v>1.147</v>
      </c>
      <c r="G19" s="5">
        <f t="shared" si="0"/>
        <v>1.43902</v>
      </c>
    </row>
    <row r="20" spans="1:7" ht="33" thickBot="1" x14ac:dyDescent="0.25">
      <c r="A20" s="4" t="s">
        <v>131</v>
      </c>
      <c r="B20" s="6">
        <v>1.3892</v>
      </c>
      <c r="C20" s="6">
        <v>1.5192000000000001</v>
      </c>
      <c r="D20" s="6">
        <v>1.425</v>
      </c>
      <c r="E20" s="6">
        <v>1.3314999999999999</v>
      </c>
      <c r="F20" s="6">
        <v>1.4177</v>
      </c>
      <c r="G20" s="5">
        <f t="shared" si="0"/>
        <v>1.41652</v>
      </c>
    </row>
    <row r="21" spans="1:7" ht="33" thickBot="1" x14ac:dyDescent="0.25">
      <c r="A21" s="7" t="s">
        <v>87</v>
      </c>
      <c r="B21" s="8">
        <v>1.3822000000000001</v>
      </c>
      <c r="C21" s="8">
        <v>1.4016999999999999</v>
      </c>
      <c r="D21" s="8">
        <v>1.3026</v>
      </c>
      <c r="E21" s="8">
        <v>1.2179</v>
      </c>
      <c r="F21" s="8">
        <v>1.2413000000000001</v>
      </c>
      <c r="G21" s="5">
        <f t="shared" si="0"/>
        <v>1.30914</v>
      </c>
    </row>
    <row r="22" spans="1:7" ht="17" thickBot="1" x14ac:dyDescent="0.25">
      <c r="A22" s="4" t="s">
        <v>132</v>
      </c>
      <c r="B22" s="6">
        <v>1.3655999999999999</v>
      </c>
      <c r="C22" s="6">
        <v>1.4697</v>
      </c>
      <c r="D22" s="6">
        <v>1.4712000000000001</v>
      </c>
      <c r="E22" s="6">
        <v>1.1029</v>
      </c>
      <c r="F22" s="6">
        <v>1.0851</v>
      </c>
      <c r="G22" s="5">
        <f t="shared" si="0"/>
        <v>1.2988999999999999</v>
      </c>
    </row>
    <row r="23" spans="1:7" ht="17" thickBot="1" x14ac:dyDescent="0.25">
      <c r="A23" s="7" t="s">
        <v>133</v>
      </c>
      <c r="B23" s="8">
        <v>1.33</v>
      </c>
      <c r="C23" s="8">
        <v>1.2001999999999999</v>
      </c>
      <c r="D23" s="8">
        <v>1.3601000000000001</v>
      </c>
      <c r="E23" s="8">
        <v>1.1893</v>
      </c>
      <c r="F23" s="8">
        <v>1.3085</v>
      </c>
      <c r="G23" s="5">
        <f t="shared" si="0"/>
        <v>1.27762</v>
      </c>
    </row>
    <row r="24" spans="1:7" ht="17" thickBot="1" x14ac:dyDescent="0.25">
      <c r="A24" s="4" t="s">
        <v>134</v>
      </c>
      <c r="B24" s="6">
        <v>1.3197000000000001</v>
      </c>
      <c r="C24" s="6">
        <v>1.5037</v>
      </c>
      <c r="D24" s="6">
        <v>1.3232999999999999</v>
      </c>
      <c r="E24" s="6">
        <v>1.202</v>
      </c>
      <c r="F24" s="6">
        <v>1.2074</v>
      </c>
      <c r="G24" s="5">
        <f t="shared" si="0"/>
        <v>1.3112200000000001</v>
      </c>
    </row>
    <row r="25" spans="1:7" ht="17" thickBot="1" x14ac:dyDescent="0.25">
      <c r="A25" s="7" t="s">
        <v>135</v>
      </c>
      <c r="B25" s="8">
        <v>1.3184</v>
      </c>
      <c r="C25" s="8">
        <v>1.4665999999999999</v>
      </c>
      <c r="D25" s="8">
        <v>1.3402000000000001</v>
      </c>
      <c r="E25" s="8">
        <v>1.1678999999999999</v>
      </c>
      <c r="F25" s="8">
        <v>1.2302999999999999</v>
      </c>
      <c r="G25" s="5">
        <f t="shared" si="0"/>
        <v>1.3046800000000001</v>
      </c>
    </row>
    <row r="26" spans="1:7" ht="17" thickBot="1" x14ac:dyDescent="0.25">
      <c r="A26" s="4" t="s">
        <v>136</v>
      </c>
      <c r="B26" s="6">
        <v>1.2915000000000001</v>
      </c>
      <c r="C26" s="6">
        <v>1.3286</v>
      </c>
      <c r="D26" s="6">
        <v>1.1714</v>
      </c>
      <c r="E26" s="6">
        <v>0.97799999999999998</v>
      </c>
      <c r="F26" s="6">
        <v>1.0969</v>
      </c>
      <c r="G26" s="5">
        <f t="shared" si="0"/>
        <v>1.1732799999999999</v>
      </c>
    </row>
    <row r="27" spans="1:7" ht="17" thickBot="1" x14ac:dyDescent="0.25">
      <c r="A27" s="7" t="s">
        <v>75</v>
      </c>
      <c r="B27" s="8">
        <v>1.2845</v>
      </c>
      <c r="C27" s="8">
        <v>1.2892999999999999</v>
      </c>
      <c r="D27" s="8">
        <v>1.1071</v>
      </c>
      <c r="E27" s="8">
        <v>1.0376000000000001</v>
      </c>
      <c r="F27" s="8">
        <v>1.1022000000000001</v>
      </c>
      <c r="G27" s="5">
        <f t="shared" si="0"/>
        <v>1.16414</v>
      </c>
    </row>
    <row r="28" spans="1:7" ht="17" thickBot="1" x14ac:dyDescent="0.25">
      <c r="A28" s="4" t="s">
        <v>137</v>
      </c>
      <c r="B28" s="6">
        <v>1.2426999999999999</v>
      </c>
      <c r="C28" s="6">
        <v>1.3865000000000001</v>
      </c>
      <c r="D28" s="6">
        <v>1.1777</v>
      </c>
      <c r="E28" s="6">
        <v>1.0471999999999999</v>
      </c>
      <c r="F28" s="6">
        <v>1.1194999999999999</v>
      </c>
      <c r="G28" s="5">
        <f t="shared" si="0"/>
        <v>1.1947199999999998</v>
      </c>
    </row>
    <row r="29" spans="1:7" ht="17" thickBot="1" x14ac:dyDescent="0.25">
      <c r="A29" s="7" t="s">
        <v>138</v>
      </c>
      <c r="B29" s="8">
        <v>1.2093</v>
      </c>
      <c r="C29" s="8">
        <v>1.1726000000000001</v>
      </c>
      <c r="D29" s="8">
        <v>0.81730000000000003</v>
      </c>
      <c r="E29" s="8">
        <v>0.72340000000000004</v>
      </c>
      <c r="F29" s="8">
        <v>1.0741000000000001</v>
      </c>
      <c r="G29" s="5">
        <f t="shared" si="0"/>
        <v>0.99934000000000012</v>
      </c>
    </row>
    <row r="30" spans="1:7" ht="33" thickBot="1" x14ac:dyDescent="0.25">
      <c r="A30" s="4" t="s">
        <v>139</v>
      </c>
      <c r="B30" s="6">
        <v>1.1999</v>
      </c>
      <c r="C30" s="6">
        <v>1.2589999999999999</v>
      </c>
      <c r="D30" s="6">
        <v>1.0503</v>
      </c>
      <c r="E30" s="6">
        <v>0.87009999999999998</v>
      </c>
      <c r="F30" s="6">
        <v>1.0884</v>
      </c>
      <c r="G30" s="5">
        <f t="shared" si="0"/>
        <v>1.09354</v>
      </c>
    </row>
    <row r="31" spans="1:7" ht="17" thickBot="1" x14ac:dyDescent="0.25">
      <c r="A31" s="7" t="s">
        <v>73</v>
      </c>
      <c r="B31" s="8">
        <v>1.1859999999999999</v>
      </c>
      <c r="C31" s="8">
        <v>1.3817999999999999</v>
      </c>
      <c r="D31" s="8">
        <v>1.2097</v>
      </c>
      <c r="E31" s="8">
        <v>1.1032999999999999</v>
      </c>
      <c r="F31" s="8">
        <v>1.2468999999999999</v>
      </c>
      <c r="G31" s="5">
        <f t="shared" si="0"/>
        <v>1.2255400000000001</v>
      </c>
    </row>
    <row r="32" spans="1:7" ht="17" thickBot="1" x14ac:dyDescent="0.25">
      <c r="A32" s="4" t="s">
        <v>140</v>
      </c>
      <c r="B32" s="6">
        <v>1.1704000000000001</v>
      </c>
      <c r="C32" s="6">
        <v>1.0101</v>
      </c>
      <c r="D32" s="6">
        <v>0.79669999999999996</v>
      </c>
      <c r="E32" s="6">
        <v>0.69489999999999996</v>
      </c>
      <c r="F32" s="6">
        <v>0.96109999999999995</v>
      </c>
      <c r="G32" s="5">
        <f t="shared" si="0"/>
        <v>0.92664000000000013</v>
      </c>
    </row>
    <row r="33" spans="1:7" ht="17" thickBot="1" x14ac:dyDescent="0.25">
      <c r="A33" s="7" t="s">
        <v>141</v>
      </c>
      <c r="B33" s="8">
        <v>1.1612</v>
      </c>
      <c r="C33" s="8">
        <v>1.2369000000000001</v>
      </c>
      <c r="D33" s="8">
        <v>1.1099000000000001</v>
      </c>
      <c r="E33" s="8">
        <v>0.99709999999999999</v>
      </c>
      <c r="F33" s="8">
        <v>1.0789</v>
      </c>
      <c r="G33" s="5">
        <f t="shared" si="0"/>
        <v>1.1168</v>
      </c>
    </row>
    <row r="34" spans="1:7" ht="17" thickBot="1" x14ac:dyDescent="0.25">
      <c r="A34" s="4" t="s">
        <v>142</v>
      </c>
      <c r="B34" s="6">
        <v>1.1354</v>
      </c>
      <c r="C34" s="6">
        <v>1.2319</v>
      </c>
      <c r="D34" s="6">
        <v>1.2910999999999999</v>
      </c>
      <c r="E34" s="6">
        <v>1.2399</v>
      </c>
      <c r="F34" s="6">
        <v>1.2356</v>
      </c>
      <c r="G34" s="5">
        <f t="shared" ref="G34:G65" si="2">AVERAGE(B34:F34)</f>
        <v>1.2267800000000002</v>
      </c>
    </row>
    <row r="35" spans="1:7" ht="17" thickBot="1" x14ac:dyDescent="0.25">
      <c r="A35" s="7" t="s">
        <v>143</v>
      </c>
      <c r="B35" s="8">
        <v>1.1023000000000001</v>
      </c>
      <c r="C35" s="8">
        <v>1.1001000000000001</v>
      </c>
      <c r="D35" s="8">
        <v>0.98640000000000005</v>
      </c>
      <c r="E35" s="8">
        <v>0.75609999999999999</v>
      </c>
      <c r="F35" s="8">
        <v>0.85750000000000004</v>
      </c>
      <c r="G35" s="5">
        <f t="shared" si="2"/>
        <v>0.96048000000000011</v>
      </c>
    </row>
    <row r="36" spans="1:7" ht="17" thickBot="1" x14ac:dyDescent="0.25">
      <c r="A36" s="4" t="s">
        <v>144</v>
      </c>
      <c r="B36" s="6">
        <v>1.0992999999999999</v>
      </c>
      <c r="C36" s="6">
        <v>1.1167</v>
      </c>
      <c r="D36" s="6">
        <v>1.2114</v>
      </c>
      <c r="E36" s="6">
        <v>0.36199999999999999</v>
      </c>
      <c r="F36" s="6">
        <v>0.75880000000000003</v>
      </c>
      <c r="G36" s="5">
        <f t="shared" si="2"/>
        <v>0.90964000000000012</v>
      </c>
    </row>
    <row r="37" spans="1:7" ht="17" thickBot="1" x14ac:dyDescent="0.25">
      <c r="A37" s="7" t="s">
        <v>145</v>
      </c>
      <c r="B37" s="8">
        <v>1.0992</v>
      </c>
      <c r="C37" s="8">
        <v>1.2383</v>
      </c>
      <c r="D37" s="8">
        <v>1.0143</v>
      </c>
      <c r="E37" s="8">
        <v>0.89139999999999997</v>
      </c>
      <c r="F37" s="8">
        <v>1.0073000000000001</v>
      </c>
      <c r="G37" s="5">
        <f t="shared" si="2"/>
        <v>1.0501</v>
      </c>
    </row>
    <row r="38" spans="1:7" ht="17" thickBot="1" x14ac:dyDescent="0.25">
      <c r="A38" s="4" t="s">
        <v>146</v>
      </c>
      <c r="B38" s="6">
        <v>1.0961000000000001</v>
      </c>
      <c r="C38" s="6">
        <v>0.99109999999999998</v>
      </c>
      <c r="D38" s="6">
        <v>0.83540000000000003</v>
      </c>
      <c r="E38" s="6">
        <v>0.76929999999999998</v>
      </c>
      <c r="F38" s="6">
        <v>0.82899999999999996</v>
      </c>
      <c r="G38" s="5">
        <f t="shared" si="2"/>
        <v>0.90417999999999998</v>
      </c>
    </row>
    <row r="39" spans="1:7" ht="17" thickBot="1" x14ac:dyDescent="0.25">
      <c r="A39" s="7" t="s">
        <v>147</v>
      </c>
      <c r="B39" s="8">
        <v>1.0953999999999999</v>
      </c>
      <c r="C39" s="8">
        <v>1.2398</v>
      </c>
      <c r="D39" s="8">
        <v>1.1208</v>
      </c>
      <c r="E39" s="8">
        <v>1.0032000000000001</v>
      </c>
      <c r="F39" s="8">
        <v>1.0268999999999999</v>
      </c>
      <c r="G39" s="5">
        <f t="shared" si="2"/>
        <v>1.0972200000000001</v>
      </c>
    </row>
    <row r="40" spans="1:7" ht="17" thickBot="1" x14ac:dyDescent="0.25">
      <c r="A40" s="4" t="s">
        <v>148</v>
      </c>
      <c r="B40" s="6">
        <v>1.0912999999999999</v>
      </c>
      <c r="C40" s="6">
        <v>1.1672</v>
      </c>
      <c r="D40" s="6">
        <v>0.94220000000000004</v>
      </c>
      <c r="E40" s="6">
        <v>0.84330000000000005</v>
      </c>
      <c r="F40" s="6">
        <v>1.0233000000000001</v>
      </c>
      <c r="G40" s="5">
        <f t="shared" si="2"/>
        <v>1.0134599999999998</v>
      </c>
    </row>
    <row r="41" spans="1:7" ht="17" thickBot="1" x14ac:dyDescent="0.25">
      <c r="A41" s="7" t="s">
        <v>149</v>
      </c>
      <c r="B41" s="8">
        <v>1.0843</v>
      </c>
      <c r="C41" s="8">
        <v>1.1822999999999999</v>
      </c>
      <c r="D41" s="8">
        <v>0.98</v>
      </c>
      <c r="E41" s="8">
        <v>0.85829999999999995</v>
      </c>
      <c r="F41" s="8">
        <v>0.96489999999999998</v>
      </c>
      <c r="G41" s="5">
        <f t="shared" si="2"/>
        <v>1.01396</v>
      </c>
    </row>
    <row r="42" spans="1:7" ht="33" thickBot="1" x14ac:dyDescent="0.25">
      <c r="A42" s="4" t="s">
        <v>150</v>
      </c>
      <c r="B42" s="6">
        <v>1.0774999999999999</v>
      </c>
      <c r="C42" s="6">
        <v>0.88090000000000002</v>
      </c>
      <c r="D42" s="6">
        <v>0.58389999999999997</v>
      </c>
      <c r="E42" s="6">
        <v>0.51559999999999995</v>
      </c>
      <c r="F42" s="6">
        <v>0.56189999999999996</v>
      </c>
      <c r="G42" s="5">
        <f t="shared" si="2"/>
        <v>0.72396000000000005</v>
      </c>
    </row>
    <row r="43" spans="1:7" ht="17" thickBot="1" x14ac:dyDescent="0.25">
      <c r="A43" s="7" t="s">
        <v>35</v>
      </c>
      <c r="B43" s="8">
        <v>1.0648</v>
      </c>
      <c r="C43" s="8">
        <v>1.0794999999999999</v>
      </c>
      <c r="D43" s="8">
        <v>0.99150000000000005</v>
      </c>
      <c r="E43" s="8">
        <v>0.81630000000000003</v>
      </c>
      <c r="F43" s="8">
        <v>1.022</v>
      </c>
      <c r="G43" s="5">
        <f t="shared" si="2"/>
        <v>0.99482000000000004</v>
      </c>
    </row>
    <row r="44" spans="1:7" ht="17" thickBot="1" x14ac:dyDescent="0.25">
      <c r="A44" s="4" t="s">
        <v>151</v>
      </c>
      <c r="B44" s="6">
        <v>1.0630999999999999</v>
      </c>
      <c r="C44" s="6">
        <v>1.147</v>
      </c>
      <c r="D44" s="6">
        <v>1.016</v>
      </c>
      <c r="E44" s="6">
        <v>0.92889999999999995</v>
      </c>
      <c r="F44" s="6">
        <v>1.1780999999999999</v>
      </c>
      <c r="G44" s="5">
        <f t="shared" si="2"/>
        <v>1.0666199999999999</v>
      </c>
    </row>
    <row r="45" spans="1:7" ht="17" thickBot="1" x14ac:dyDescent="0.25">
      <c r="A45" s="7" t="s">
        <v>61</v>
      </c>
      <c r="B45" s="8">
        <v>1.0487</v>
      </c>
      <c r="C45" s="8">
        <v>1.1534</v>
      </c>
      <c r="D45" s="8">
        <v>1.0669999999999999</v>
      </c>
      <c r="E45" s="8">
        <v>0.8891</v>
      </c>
      <c r="F45" s="8">
        <v>0.94040000000000001</v>
      </c>
      <c r="G45" s="5">
        <f t="shared" si="2"/>
        <v>1.01972</v>
      </c>
    </row>
    <row r="46" spans="1:7" ht="17" thickBot="1" x14ac:dyDescent="0.25">
      <c r="A46" s="4" t="s">
        <v>86</v>
      </c>
      <c r="B46" s="6">
        <v>1.0357000000000001</v>
      </c>
      <c r="C46" s="6">
        <v>1.0299</v>
      </c>
      <c r="D46" s="6">
        <v>0.88249999999999995</v>
      </c>
      <c r="E46" s="6">
        <v>0.83209999999999995</v>
      </c>
      <c r="F46" s="6">
        <v>0.9143</v>
      </c>
      <c r="G46" s="5">
        <f t="shared" si="2"/>
        <v>0.93889999999999996</v>
      </c>
    </row>
    <row r="47" spans="1:7" ht="33" thickBot="1" x14ac:dyDescent="0.25">
      <c r="A47" s="7" t="s">
        <v>152</v>
      </c>
      <c r="B47" s="8">
        <v>1.0173000000000001</v>
      </c>
      <c r="C47" s="8">
        <v>0.98499999999999999</v>
      </c>
      <c r="D47" s="8">
        <v>0.96740000000000004</v>
      </c>
      <c r="E47" s="8">
        <v>1.0350999999999999</v>
      </c>
      <c r="F47" s="8">
        <v>1.0757000000000001</v>
      </c>
      <c r="G47" s="5">
        <f t="shared" si="2"/>
        <v>1.0161</v>
      </c>
    </row>
    <row r="48" spans="1:7" ht="17" thickBot="1" x14ac:dyDescent="0.25">
      <c r="A48" s="4" t="s">
        <v>153</v>
      </c>
      <c r="B48" s="6">
        <v>1.0103</v>
      </c>
      <c r="C48" s="6">
        <v>1.1001000000000001</v>
      </c>
      <c r="D48" s="6">
        <v>0.96489999999999998</v>
      </c>
      <c r="E48" s="6">
        <v>0.82110000000000005</v>
      </c>
      <c r="F48" s="6">
        <v>0.94520000000000004</v>
      </c>
      <c r="G48" s="5">
        <f t="shared" si="2"/>
        <v>0.96832000000000007</v>
      </c>
    </row>
    <row r="49" spans="1:7" ht="17" thickBot="1" x14ac:dyDescent="0.25">
      <c r="A49" s="7" t="s">
        <v>154</v>
      </c>
      <c r="B49" s="8">
        <v>0.99890000000000001</v>
      </c>
      <c r="C49" s="8">
        <v>1.0114000000000001</v>
      </c>
      <c r="D49" s="8">
        <v>0.73499999999999999</v>
      </c>
      <c r="E49" s="8">
        <v>0.75990000000000002</v>
      </c>
      <c r="F49" s="8">
        <v>0.96630000000000005</v>
      </c>
      <c r="G49" s="5">
        <f t="shared" si="2"/>
        <v>0.89429999999999998</v>
      </c>
    </row>
    <row r="50" spans="1:7" ht="17" thickBot="1" x14ac:dyDescent="0.25">
      <c r="A50" s="4" t="s">
        <v>48</v>
      </c>
      <c r="B50" s="6">
        <v>0.97950000000000004</v>
      </c>
      <c r="C50" s="6">
        <v>1.127</v>
      </c>
      <c r="D50" s="6">
        <v>1.0337000000000001</v>
      </c>
      <c r="E50" s="6">
        <v>0.88</v>
      </c>
      <c r="F50" s="6">
        <v>0.99460000000000004</v>
      </c>
      <c r="G50" s="5">
        <f t="shared" si="2"/>
        <v>1.0029600000000001</v>
      </c>
    </row>
    <row r="51" spans="1:7" ht="17" thickBot="1" x14ac:dyDescent="0.25">
      <c r="A51" s="7" t="s">
        <v>155</v>
      </c>
      <c r="B51" s="8">
        <v>0.96350000000000002</v>
      </c>
      <c r="C51" s="8">
        <v>1.0435000000000001</v>
      </c>
      <c r="D51" s="8">
        <v>0.8831</v>
      </c>
      <c r="E51" s="8">
        <v>0.86780000000000002</v>
      </c>
      <c r="F51" s="8">
        <v>0.93489999999999995</v>
      </c>
      <c r="G51" s="5">
        <f t="shared" si="2"/>
        <v>0.93856000000000006</v>
      </c>
    </row>
    <row r="52" spans="1:7" ht="33" thickBot="1" x14ac:dyDescent="0.25">
      <c r="A52" s="4" t="s">
        <v>156</v>
      </c>
      <c r="B52" s="6">
        <v>0.96209999999999996</v>
      </c>
      <c r="C52" s="6">
        <v>0.98160000000000003</v>
      </c>
      <c r="D52" s="6">
        <v>0.85550000000000004</v>
      </c>
      <c r="E52" s="6">
        <v>0.69310000000000005</v>
      </c>
      <c r="F52" s="6">
        <v>0.91579999999999995</v>
      </c>
      <c r="G52" s="5">
        <f t="shared" si="2"/>
        <v>0.88162000000000007</v>
      </c>
    </row>
    <row r="53" spans="1:7" ht="17" thickBot="1" x14ac:dyDescent="0.25">
      <c r="A53" s="7" t="s">
        <v>157</v>
      </c>
      <c r="B53" s="8">
        <v>0.96209999999999996</v>
      </c>
      <c r="C53" s="8">
        <v>1.0112000000000001</v>
      </c>
      <c r="D53" s="8">
        <v>0.75629999999999997</v>
      </c>
      <c r="E53" s="8">
        <v>0.68840000000000001</v>
      </c>
      <c r="F53" s="8">
        <v>0.76</v>
      </c>
      <c r="G53" s="5">
        <f t="shared" si="2"/>
        <v>0.83560000000000001</v>
      </c>
    </row>
    <row r="54" spans="1:7" ht="17" thickBot="1" x14ac:dyDescent="0.25">
      <c r="A54" s="4" t="s">
        <v>158</v>
      </c>
      <c r="B54" s="6">
        <v>0.95130000000000003</v>
      </c>
      <c r="C54" s="6">
        <v>1.1073</v>
      </c>
      <c r="D54" s="6">
        <v>0.88470000000000004</v>
      </c>
      <c r="E54" s="6">
        <v>0.79269999999999996</v>
      </c>
      <c r="F54" s="6">
        <v>0.87629999999999997</v>
      </c>
      <c r="G54" s="5">
        <f t="shared" si="2"/>
        <v>0.92246000000000006</v>
      </c>
    </row>
    <row r="55" spans="1:7" ht="33" thickBot="1" x14ac:dyDescent="0.25">
      <c r="A55" s="7" t="s">
        <v>159</v>
      </c>
      <c r="B55" s="8">
        <v>0.94879999999999998</v>
      </c>
      <c r="C55" s="8">
        <v>0.84840000000000004</v>
      </c>
      <c r="D55" s="8">
        <v>0.87609999999999999</v>
      </c>
      <c r="E55" s="8">
        <v>0.85519999999999996</v>
      </c>
      <c r="F55" s="8">
        <v>0.95850000000000002</v>
      </c>
      <c r="G55" s="5">
        <f t="shared" si="2"/>
        <v>0.89739999999999998</v>
      </c>
    </row>
    <row r="56" spans="1:7" ht="17" thickBot="1" x14ac:dyDescent="0.25">
      <c r="A56" s="4" t="s">
        <v>160</v>
      </c>
      <c r="B56" s="6">
        <v>0.9466</v>
      </c>
      <c r="C56" s="6">
        <v>1.08</v>
      </c>
      <c r="D56" s="6">
        <v>0.89659999999999995</v>
      </c>
      <c r="E56" s="6">
        <v>0.71840000000000004</v>
      </c>
      <c r="F56" s="6">
        <v>0.81889999999999996</v>
      </c>
      <c r="G56" s="5">
        <f t="shared" si="2"/>
        <v>0.89209999999999989</v>
      </c>
    </row>
    <row r="57" spans="1:7" ht="17" thickBot="1" x14ac:dyDescent="0.25">
      <c r="A57" s="7" t="s">
        <v>161</v>
      </c>
      <c r="B57" s="8">
        <v>0.94579999999999997</v>
      </c>
      <c r="C57" s="8">
        <v>0.95840000000000003</v>
      </c>
      <c r="D57" s="8">
        <v>0.82079999999999997</v>
      </c>
      <c r="E57" s="8">
        <v>0.7601</v>
      </c>
      <c r="F57" s="8">
        <v>0.69569999999999999</v>
      </c>
      <c r="G57" s="5">
        <f t="shared" si="2"/>
        <v>0.8361599999999999</v>
      </c>
    </row>
    <row r="58" spans="1:7" ht="17" thickBot="1" x14ac:dyDescent="0.25">
      <c r="A58" s="4" t="s">
        <v>162</v>
      </c>
      <c r="B58" s="6">
        <v>0.9405</v>
      </c>
      <c r="C58" s="6">
        <v>1.0161</v>
      </c>
      <c r="D58" s="6">
        <v>0.85629999999999995</v>
      </c>
      <c r="E58" s="6">
        <v>0.76239999999999997</v>
      </c>
      <c r="F58" s="6">
        <v>0.86560000000000004</v>
      </c>
      <c r="G58" s="5">
        <f t="shared" si="2"/>
        <v>0.88817999999999997</v>
      </c>
    </row>
    <row r="59" spans="1:7" ht="33" thickBot="1" x14ac:dyDescent="0.25">
      <c r="A59" s="7" t="s">
        <v>163</v>
      </c>
      <c r="B59" s="8">
        <v>0.93869999999999998</v>
      </c>
      <c r="C59" s="8">
        <v>0.95979999999999999</v>
      </c>
      <c r="D59" s="8">
        <v>0.77459999999999996</v>
      </c>
      <c r="E59" s="8">
        <v>0.78390000000000004</v>
      </c>
      <c r="F59" s="8">
        <v>1.036</v>
      </c>
      <c r="G59" s="5">
        <f t="shared" si="2"/>
        <v>0.89860000000000007</v>
      </c>
    </row>
    <row r="60" spans="1:7" ht="17" thickBot="1" x14ac:dyDescent="0.25">
      <c r="A60" s="4" t="s">
        <v>164</v>
      </c>
      <c r="B60" s="6">
        <v>0.91579999999999995</v>
      </c>
      <c r="C60" s="6">
        <v>0.8972</v>
      </c>
      <c r="D60" s="6">
        <v>0.82979999999999998</v>
      </c>
      <c r="E60" s="6">
        <v>0.68730000000000002</v>
      </c>
      <c r="F60" s="6">
        <v>0.74570000000000003</v>
      </c>
      <c r="G60" s="5">
        <f t="shared" si="2"/>
        <v>0.81516</v>
      </c>
    </row>
    <row r="61" spans="1:7" ht="49" thickBot="1" x14ac:dyDescent="0.25">
      <c r="A61" s="7" t="s">
        <v>165</v>
      </c>
      <c r="B61" s="8">
        <v>0.91259999999999997</v>
      </c>
      <c r="C61" s="8">
        <v>0.93730000000000002</v>
      </c>
      <c r="D61" s="8">
        <v>0.80479999999999996</v>
      </c>
      <c r="E61" s="8">
        <v>0.58489999999999998</v>
      </c>
      <c r="F61" s="8">
        <v>0.5524</v>
      </c>
      <c r="G61" s="5">
        <f t="shared" si="2"/>
        <v>0.75840000000000007</v>
      </c>
    </row>
    <row r="62" spans="1:7" ht="17" thickBot="1" x14ac:dyDescent="0.25">
      <c r="A62" s="4" t="s">
        <v>166</v>
      </c>
      <c r="B62" s="6">
        <v>0.91059999999999997</v>
      </c>
      <c r="C62" s="6">
        <v>0.64980000000000004</v>
      </c>
      <c r="D62" s="6">
        <v>0.6089</v>
      </c>
      <c r="E62" s="6">
        <v>0.77480000000000004</v>
      </c>
      <c r="F62" s="6">
        <v>0.83330000000000004</v>
      </c>
      <c r="G62" s="5">
        <f t="shared" si="2"/>
        <v>0.75547999999999993</v>
      </c>
    </row>
    <row r="63" spans="1:7" ht="17" thickBot="1" x14ac:dyDescent="0.25">
      <c r="A63" s="7" t="s">
        <v>78</v>
      </c>
      <c r="B63" s="8">
        <v>0.90110000000000001</v>
      </c>
      <c r="C63" s="8">
        <v>0.99880000000000002</v>
      </c>
      <c r="D63" s="8">
        <v>0.89159999999999995</v>
      </c>
      <c r="E63" s="8">
        <v>0.8115</v>
      </c>
      <c r="F63" s="8">
        <v>0.88319999999999999</v>
      </c>
      <c r="G63" s="5">
        <f t="shared" si="2"/>
        <v>0.89724000000000004</v>
      </c>
    </row>
    <row r="64" spans="1:7" ht="33" thickBot="1" x14ac:dyDescent="0.25">
      <c r="A64" s="4" t="s">
        <v>167</v>
      </c>
      <c r="B64" s="6">
        <v>0.87939999999999996</v>
      </c>
      <c r="C64" s="6">
        <v>0.96540000000000004</v>
      </c>
      <c r="D64" s="6">
        <v>0.80200000000000005</v>
      </c>
      <c r="E64" s="6">
        <v>0.69030000000000002</v>
      </c>
      <c r="F64" s="6">
        <v>0.75760000000000005</v>
      </c>
      <c r="G64" s="5">
        <f t="shared" si="2"/>
        <v>0.81893999999999989</v>
      </c>
    </row>
    <row r="65" spans="1:7" ht="33" thickBot="1" x14ac:dyDescent="0.25">
      <c r="A65" s="7" t="s">
        <v>168</v>
      </c>
      <c r="B65" s="8">
        <v>0.87129999999999996</v>
      </c>
      <c r="C65" s="8">
        <v>0.91800000000000004</v>
      </c>
      <c r="D65" s="8">
        <v>0.76970000000000005</v>
      </c>
      <c r="E65" s="8">
        <v>0.77929999999999999</v>
      </c>
      <c r="F65" s="8">
        <v>0.94879999999999998</v>
      </c>
      <c r="G65" s="5">
        <f t="shared" si="2"/>
        <v>0.85742000000000007</v>
      </c>
    </row>
    <row r="66" spans="1:7" ht="17" thickBot="1" x14ac:dyDescent="0.25">
      <c r="A66" s="4" t="s">
        <v>169</v>
      </c>
      <c r="B66" s="6">
        <v>0.8679</v>
      </c>
      <c r="C66" s="6">
        <v>0.91720000000000002</v>
      </c>
      <c r="D66" s="6">
        <v>0.76300000000000001</v>
      </c>
      <c r="E66" s="6">
        <v>0.67979999999999996</v>
      </c>
      <c r="F66" s="6">
        <v>0.8286</v>
      </c>
      <c r="G66" s="5">
        <f t="shared" ref="G66:G97" si="3">AVERAGE(B66:F66)</f>
        <v>0.81129999999999991</v>
      </c>
    </row>
    <row r="67" spans="1:7" ht="33" thickBot="1" x14ac:dyDescent="0.25">
      <c r="A67" s="7" t="s">
        <v>170</v>
      </c>
      <c r="B67" s="8">
        <v>0.86519999999999997</v>
      </c>
      <c r="C67" s="8">
        <v>0.82389999999999997</v>
      </c>
      <c r="D67" s="8">
        <v>0.73080000000000001</v>
      </c>
      <c r="E67" s="8">
        <v>0.67290000000000005</v>
      </c>
      <c r="F67" s="8">
        <v>0.68989999999999996</v>
      </c>
      <c r="G67" s="5">
        <f t="shared" si="3"/>
        <v>0.75653999999999988</v>
      </c>
    </row>
    <row r="68" spans="1:7" ht="17" thickBot="1" x14ac:dyDescent="0.25">
      <c r="A68" s="4" t="s">
        <v>171</v>
      </c>
      <c r="B68" s="6">
        <v>0.84540000000000004</v>
      </c>
      <c r="C68" s="6">
        <v>0.85150000000000003</v>
      </c>
      <c r="D68" s="6">
        <v>0.76019999999999999</v>
      </c>
      <c r="E68" s="6">
        <v>0.59830000000000005</v>
      </c>
      <c r="F68" s="6">
        <v>0.76280000000000003</v>
      </c>
      <c r="G68" s="5">
        <f t="shared" si="3"/>
        <v>0.76363999999999999</v>
      </c>
    </row>
    <row r="69" spans="1:7" ht="17" thickBot="1" x14ac:dyDescent="0.25">
      <c r="A69" s="7" t="s">
        <v>172</v>
      </c>
      <c r="B69" s="8">
        <v>0.83620000000000005</v>
      </c>
      <c r="C69" s="8">
        <v>0.86980000000000002</v>
      </c>
      <c r="D69" s="8">
        <v>0.76290000000000002</v>
      </c>
      <c r="E69" s="8">
        <v>0.72019999999999995</v>
      </c>
      <c r="F69" s="8">
        <v>0.85819999999999996</v>
      </c>
      <c r="G69" s="5">
        <f t="shared" si="3"/>
        <v>0.80945999999999996</v>
      </c>
    </row>
    <row r="70" spans="1:7" ht="17" thickBot="1" x14ac:dyDescent="0.25">
      <c r="A70" s="4" t="s">
        <v>173</v>
      </c>
      <c r="B70" s="6">
        <v>0.83040000000000003</v>
      </c>
      <c r="C70" s="6">
        <v>0.93230000000000002</v>
      </c>
      <c r="D70" s="6">
        <v>0.86850000000000005</v>
      </c>
      <c r="E70" s="6">
        <v>0.78059999999999996</v>
      </c>
      <c r="F70" s="6">
        <v>0.84499999999999997</v>
      </c>
      <c r="G70" s="5">
        <f t="shared" si="3"/>
        <v>0.85136000000000001</v>
      </c>
    </row>
    <row r="71" spans="1:7" ht="17" thickBot="1" x14ac:dyDescent="0.25">
      <c r="A71" s="7" t="s">
        <v>63</v>
      </c>
      <c r="B71" s="8">
        <v>0.82989999999999997</v>
      </c>
      <c r="C71" s="8">
        <v>0.73740000000000006</v>
      </c>
      <c r="D71" s="8">
        <v>0.69740000000000002</v>
      </c>
      <c r="E71" s="8">
        <v>0.62760000000000005</v>
      </c>
      <c r="F71" s="8">
        <v>0.71220000000000006</v>
      </c>
      <c r="G71" s="5">
        <f t="shared" si="3"/>
        <v>0.7209000000000001</v>
      </c>
    </row>
    <row r="72" spans="1:7" ht="17" thickBot="1" x14ac:dyDescent="0.25">
      <c r="A72" s="4" t="s">
        <v>33</v>
      </c>
      <c r="B72" s="6">
        <v>0.82699999999999996</v>
      </c>
      <c r="C72" s="6">
        <v>0.83169999999999999</v>
      </c>
      <c r="D72" s="6">
        <v>0.72950000000000004</v>
      </c>
      <c r="E72" s="6">
        <v>0.57930000000000004</v>
      </c>
      <c r="F72" s="6">
        <v>0.72550000000000003</v>
      </c>
      <c r="G72" s="5">
        <f t="shared" si="3"/>
        <v>0.73860000000000015</v>
      </c>
    </row>
    <row r="73" spans="1:7" ht="17" thickBot="1" x14ac:dyDescent="0.25">
      <c r="A73" s="7" t="s">
        <v>76</v>
      </c>
      <c r="B73" s="8">
        <v>0.82350000000000001</v>
      </c>
      <c r="C73" s="8">
        <v>0.93230000000000002</v>
      </c>
      <c r="D73" s="8">
        <v>0.78920000000000001</v>
      </c>
      <c r="E73" s="8">
        <v>0.71499999999999997</v>
      </c>
      <c r="F73" s="8">
        <v>0.79610000000000003</v>
      </c>
      <c r="G73" s="5">
        <f t="shared" si="3"/>
        <v>0.81121999999999994</v>
      </c>
    </row>
    <row r="74" spans="1:7" ht="33" thickBot="1" x14ac:dyDescent="0.25">
      <c r="A74" s="4" t="s">
        <v>44</v>
      </c>
      <c r="B74" s="6">
        <v>0.80920000000000003</v>
      </c>
      <c r="C74" s="6">
        <v>0.88149999999999995</v>
      </c>
      <c r="D74" s="6">
        <v>0.81850000000000001</v>
      </c>
      <c r="E74" s="6">
        <v>0.66459999999999997</v>
      </c>
      <c r="F74" s="6">
        <v>0.76039999999999996</v>
      </c>
      <c r="G74" s="5">
        <f t="shared" si="3"/>
        <v>0.78683999999999998</v>
      </c>
    </row>
    <row r="75" spans="1:7" ht="17" thickBot="1" x14ac:dyDescent="0.25">
      <c r="A75" s="7" t="s">
        <v>174</v>
      </c>
      <c r="B75" s="8">
        <v>0.79879999999999995</v>
      </c>
      <c r="C75" s="8">
        <v>0.69299999999999995</v>
      </c>
      <c r="D75" s="8">
        <v>0.86209999999999998</v>
      </c>
      <c r="E75" s="8">
        <v>0.79210000000000003</v>
      </c>
      <c r="F75" s="8">
        <v>0.68789999999999996</v>
      </c>
      <c r="G75" s="5">
        <f t="shared" si="3"/>
        <v>0.76678000000000002</v>
      </c>
    </row>
    <row r="76" spans="1:7" ht="17" thickBot="1" x14ac:dyDescent="0.25">
      <c r="A76" s="4" t="s">
        <v>175</v>
      </c>
      <c r="B76" s="6">
        <v>0.79649999999999999</v>
      </c>
      <c r="C76" s="6">
        <v>0.82609999999999995</v>
      </c>
      <c r="D76" s="6">
        <v>0.71220000000000006</v>
      </c>
      <c r="E76" s="6">
        <v>0.65349999999999997</v>
      </c>
      <c r="F76" s="6">
        <v>0.70899999999999996</v>
      </c>
      <c r="G76" s="5">
        <f t="shared" si="3"/>
        <v>0.73946000000000001</v>
      </c>
    </row>
    <row r="77" spans="1:7" ht="17" thickBot="1" x14ac:dyDescent="0.25">
      <c r="A77" s="7" t="s">
        <v>176</v>
      </c>
      <c r="B77" s="8">
        <v>0.78100000000000003</v>
      </c>
      <c r="C77" s="8">
        <v>0.874</v>
      </c>
      <c r="D77" s="8">
        <v>0.82699999999999996</v>
      </c>
      <c r="E77" s="8">
        <v>0.79159999999999997</v>
      </c>
      <c r="F77" s="8">
        <v>0.90510000000000002</v>
      </c>
      <c r="G77" s="5">
        <f t="shared" si="3"/>
        <v>0.83574000000000004</v>
      </c>
    </row>
    <row r="78" spans="1:7" ht="17" thickBot="1" x14ac:dyDescent="0.25">
      <c r="A78" s="4" t="s">
        <v>177</v>
      </c>
      <c r="B78" s="6">
        <v>0.74139999999999995</v>
      </c>
      <c r="C78" s="6">
        <v>0.77939999999999998</v>
      </c>
      <c r="D78" s="6">
        <v>0.74490000000000001</v>
      </c>
      <c r="E78" s="6">
        <v>0.7006</v>
      </c>
      <c r="F78" s="6">
        <v>0.73429999999999995</v>
      </c>
      <c r="G78" s="5">
        <f t="shared" si="3"/>
        <v>0.74011999999999989</v>
      </c>
    </row>
    <row r="79" spans="1:7" ht="17" thickBot="1" x14ac:dyDescent="0.25">
      <c r="A79" s="7" t="s">
        <v>59</v>
      </c>
      <c r="B79" s="8">
        <v>0.74119999999999997</v>
      </c>
      <c r="C79" s="8">
        <v>0.88449999999999995</v>
      </c>
      <c r="D79" s="8">
        <v>0.83289999999999997</v>
      </c>
      <c r="E79" s="8">
        <v>0.76870000000000005</v>
      </c>
      <c r="F79" s="8">
        <v>0.77400000000000002</v>
      </c>
      <c r="G79" s="5">
        <f t="shared" si="3"/>
        <v>0.80025999999999997</v>
      </c>
    </row>
    <row r="80" spans="1:7" ht="17" thickBot="1" x14ac:dyDescent="0.25">
      <c r="A80" s="4" t="s">
        <v>178</v>
      </c>
      <c r="B80" s="6">
        <v>0.7379</v>
      </c>
      <c r="C80" s="6">
        <v>0.8054</v>
      </c>
      <c r="D80" s="6">
        <v>0.67390000000000005</v>
      </c>
      <c r="E80" s="6">
        <v>0.60119999999999996</v>
      </c>
      <c r="F80" s="6">
        <v>0.66869999999999996</v>
      </c>
      <c r="G80" s="5">
        <f t="shared" si="3"/>
        <v>0.69741999999999993</v>
      </c>
    </row>
    <row r="81" spans="1:7" ht="33" thickBot="1" x14ac:dyDescent="0.25">
      <c r="A81" s="7" t="s">
        <v>179</v>
      </c>
      <c r="B81" s="8">
        <v>0.71960000000000002</v>
      </c>
      <c r="C81" s="8">
        <v>0.70920000000000005</v>
      </c>
      <c r="D81" s="8">
        <v>0.63849999999999996</v>
      </c>
      <c r="E81" s="8">
        <v>0.61839999999999995</v>
      </c>
      <c r="F81" s="8">
        <v>0.72519999999999996</v>
      </c>
      <c r="G81" s="5">
        <f t="shared" si="3"/>
        <v>0.68218000000000001</v>
      </c>
    </row>
    <row r="82" spans="1:7" ht="33" thickBot="1" x14ac:dyDescent="0.25">
      <c r="A82" s="4" t="s">
        <v>180</v>
      </c>
      <c r="B82" s="6">
        <v>0.71589999999999998</v>
      </c>
      <c r="C82" s="6">
        <v>0.69599999999999995</v>
      </c>
      <c r="D82" s="6">
        <v>0.54459999999999997</v>
      </c>
      <c r="E82" s="6">
        <v>0.49009999999999998</v>
      </c>
      <c r="F82" s="6">
        <v>0.626</v>
      </c>
      <c r="G82" s="5">
        <f t="shared" si="3"/>
        <v>0.61451999999999996</v>
      </c>
    </row>
    <row r="83" spans="1:7" ht="17" thickBot="1" x14ac:dyDescent="0.25">
      <c r="A83" s="7" t="s">
        <v>39</v>
      </c>
      <c r="B83" s="8">
        <v>0.70289999999999997</v>
      </c>
      <c r="C83" s="8">
        <v>0.79659999999999997</v>
      </c>
      <c r="D83" s="8">
        <v>0.70779999999999998</v>
      </c>
      <c r="E83" s="8">
        <v>0.60140000000000005</v>
      </c>
      <c r="F83" s="8">
        <v>0.65759999999999996</v>
      </c>
      <c r="G83" s="5">
        <f t="shared" si="3"/>
        <v>0.69325999999999999</v>
      </c>
    </row>
    <row r="84" spans="1:7" ht="17" thickBot="1" x14ac:dyDescent="0.25">
      <c r="A84" s="4" t="s">
        <v>181</v>
      </c>
      <c r="B84" s="6">
        <v>0.69440000000000002</v>
      </c>
      <c r="C84" s="6">
        <v>0.80030000000000001</v>
      </c>
      <c r="D84" s="6">
        <v>0.69379999999999997</v>
      </c>
      <c r="E84" s="6">
        <v>0.60050000000000003</v>
      </c>
      <c r="F84" s="6">
        <v>0.64239999999999997</v>
      </c>
      <c r="G84" s="5">
        <f t="shared" si="3"/>
        <v>0.68627999999999989</v>
      </c>
    </row>
    <row r="85" spans="1:7" ht="17" thickBot="1" x14ac:dyDescent="0.25">
      <c r="A85" s="7" t="s">
        <v>182</v>
      </c>
      <c r="B85" s="8">
        <v>0.69040000000000001</v>
      </c>
      <c r="C85" s="8">
        <v>0.70120000000000005</v>
      </c>
      <c r="D85" s="8">
        <v>0.62709999999999999</v>
      </c>
      <c r="E85" s="8">
        <v>0.66579999999999995</v>
      </c>
      <c r="F85" s="8">
        <v>0.76819999999999999</v>
      </c>
      <c r="G85" s="5">
        <f t="shared" si="3"/>
        <v>0.69054000000000004</v>
      </c>
    </row>
    <row r="86" spans="1:7" ht="17" thickBot="1" x14ac:dyDescent="0.25">
      <c r="A86" s="4" t="s">
        <v>183</v>
      </c>
      <c r="B86" s="6">
        <v>0.68969999999999998</v>
      </c>
      <c r="C86" s="6">
        <v>1.0748</v>
      </c>
      <c r="D86" s="6">
        <v>1.0580000000000001</v>
      </c>
      <c r="E86" s="6">
        <v>1.1504000000000001</v>
      </c>
      <c r="F86" s="6">
        <v>0.78420000000000001</v>
      </c>
      <c r="G86" s="5">
        <f t="shared" si="3"/>
        <v>0.95142000000000004</v>
      </c>
    </row>
    <row r="87" spans="1:7" ht="17" thickBot="1" x14ac:dyDescent="0.25">
      <c r="A87" s="7" t="s">
        <v>82</v>
      </c>
      <c r="B87" s="8">
        <v>0.68730000000000002</v>
      </c>
      <c r="C87" s="8">
        <v>0.74639999999999995</v>
      </c>
      <c r="D87" s="8">
        <v>0.62070000000000003</v>
      </c>
      <c r="E87" s="8">
        <v>0.55269999999999997</v>
      </c>
      <c r="F87" s="8">
        <v>0.5988</v>
      </c>
      <c r="G87" s="5">
        <f t="shared" si="3"/>
        <v>0.64117999999999997</v>
      </c>
    </row>
    <row r="88" spans="1:7" ht="17" thickBot="1" x14ac:dyDescent="0.25">
      <c r="A88" s="4" t="s">
        <v>77</v>
      </c>
      <c r="B88" s="6">
        <v>0.67579999999999996</v>
      </c>
      <c r="C88" s="6">
        <v>0.73250000000000004</v>
      </c>
      <c r="D88" s="6">
        <v>0.61950000000000005</v>
      </c>
      <c r="E88" s="6">
        <v>0.56779999999999997</v>
      </c>
      <c r="F88" s="6">
        <v>0.64139999999999997</v>
      </c>
      <c r="G88" s="5">
        <f t="shared" si="3"/>
        <v>0.64739999999999998</v>
      </c>
    </row>
    <row r="89" spans="1:7" ht="17" thickBot="1" x14ac:dyDescent="0.25">
      <c r="A89" s="7" t="s">
        <v>184</v>
      </c>
      <c r="B89" s="8">
        <v>0.67459999999999998</v>
      </c>
      <c r="C89" s="8">
        <v>0.67559999999999998</v>
      </c>
      <c r="D89" s="8">
        <v>0.62419999999999998</v>
      </c>
      <c r="E89" s="8">
        <v>0.61160000000000003</v>
      </c>
      <c r="F89" s="8">
        <v>0.66169999999999995</v>
      </c>
      <c r="G89" s="5">
        <f t="shared" si="3"/>
        <v>0.64954000000000001</v>
      </c>
    </row>
    <row r="90" spans="1:7" ht="33" thickBot="1" x14ac:dyDescent="0.25">
      <c r="A90" s="4" t="s">
        <v>185</v>
      </c>
      <c r="B90" s="6">
        <v>0.67400000000000004</v>
      </c>
      <c r="C90" s="6">
        <v>0.72430000000000005</v>
      </c>
      <c r="D90" s="6">
        <v>0.63480000000000003</v>
      </c>
      <c r="E90" s="6">
        <v>0.58169999999999999</v>
      </c>
      <c r="F90" s="6">
        <v>0.68840000000000001</v>
      </c>
      <c r="G90" s="5">
        <f t="shared" si="3"/>
        <v>0.66064000000000012</v>
      </c>
    </row>
    <row r="91" spans="1:7" ht="17" thickBot="1" x14ac:dyDescent="0.25">
      <c r="A91" s="7" t="s">
        <v>186</v>
      </c>
      <c r="B91" s="8">
        <v>0.67369999999999997</v>
      </c>
      <c r="C91" s="8">
        <v>0.85609999999999997</v>
      </c>
      <c r="D91" s="8">
        <v>0.88759999999999994</v>
      </c>
      <c r="E91" s="8">
        <v>0.77659999999999996</v>
      </c>
      <c r="F91" s="8">
        <v>0.83089999999999997</v>
      </c>
      <c r="G91" s="5">
        <f t="shared" si="3"/>
        <v>0.80497999999999992</v>
      </c>
    </row>
    <row r="92" spans="1:7" ht="17" thickBot="1" x14ac:dyDescent="0.25">
      <c r="A92" s="4" t="s">
        <v>187</v>
      </c>
      <c r="B92" s="6">
        <v>0.66959999999999997</v>
      </c>
      <c r="C92" s="6">
        <v>0.81169999999999998</v>
      </c>
      <c r="D92" s="6">
        <v>0.71079999999999999</v>
      </c>
      <c r="E92" s="6">
        <v>0.61339999999999995</v>
      </c>
      <c r="F92" s="6">
        <v>0.63190000000000002</v>
      </c>
      <c r="G92" s="5">
        <f t="shared" si="3"/>
        <v>0.68747999999999998</v>
      </c>
    </row>
    <row r="93" spans="1:7" ht="17" thickBot="1" x14ac:dyDescent="0.25">
      <c r="A93" s="7" t="s">
        <v>188</v>
      </c>
      <c r="B93" s="8">
        <v>0.6653</v>
      </c>
      <c r="C93" s="8">
        <v>0.69699999999999995</v>
      </c>
      <c r="D93" s="8">
        <v>0.74460000000000004</v>
      </c>
      <c r="E93" s="8">
        <v>0.65939999999999999</v>
      </c>
      <c r="F93" s="8">
        <v>0.57830000000000004</v>
      </c>
      <c r="G93" s="5">
        <f t="shared" si="3"/>
        <v>0.66892000000000007</v>
      </c>
    </row>
    <row r="94" spans="1:7" ht="17" thickBot="1" x14ac:dyDescent="0.25">
      <c r="A94" s="4" t="s">
        <v>189</v>
      </c>
      <c r="B94" s="6">
        <v>0.65980000000000005</v>
      </c>
      <c r="C94" s="6">
        <v>0.61150000000000004</v>
      </c>
      <c r="D94" s="6">
        <v>0.5464</v>
      </c>
      <c r="E94" s="6">
        <v>0.55189999999999995</v>
      </c>
      <c r="F94" s="6">
        <v>0.57979999999999998</v>
      </c>
      <c r="G94" s="5">
        <f t="shared" si="3"/>
        <v>0.58988000000000007</v>
      </c>
    </row>
    <row r="95" spans="1:7" ht="17" thickBot="1" x14ac:dyDescent="0.25">
      <c r="A95" s="7" t="s">
        <v>190</v>
      </c>
      <c r="B95" s="8">
        <v>0.65980000000000005</v>
      </c>
      <c r="C95" s="8">
        <v>0.68730000000000002</v>
      </c>
      <c r="D95" s="8">
        <v>0.67210000000000003</v>
      </c>
      <c r="E95" s="8">
        <v>0.66990000000000005</v>
      </c>
      <c r="F95" s="8">
        <v>0.63660000000000005</v>
      </c>
      <c r="G95" s="5">
        <f t="shared" si="3"/>
        <v>0.66514000000000006</v>
      </c>
    </row>
    <row r="96" spans="1:7" ht="33" thickBot="1" x14ac:dyDescent="0.25">
      <c r="A96" s="4" t="s">
        <v>191</v>
      </c>
      <c r="B96" s="6">
        <v>0.65720000000000001</v>
      </c>
      <c r="C96" s="6">
        <v>0.65059999999999996</v>
      </c>
      <c r="D96" s="6">
        <v>0.56079999999999997</v>
      </c>
      <c r="E96" s="6">
        <v>0.50690000000000002</v>
      </c>
      <c r="F96" s="6">
        <v>0.53900000000000003</v>
      </c>
      <c r="G96" s="5">
        <f t="shared" si="3"/>
        <v>0.58289999999999997</v>
      </c>
    </row>
    <row r="97" spans="1:7" ht="33" thickBot="1" x14ac:dyDescent="0.25">
      <c r="A97" s="7" t="s">
        <v>90</v>
      </c>
      <c r="B97" s="8">
        <v>0.65590000000000004</v>
      </c>
      <c r="C97" s="8">
        <v>0.69530000000000003</v>
      </c>
      <c r="D97" s="8">
        <v>0.59350000000000003</v>
      </c>
      <c r="E97" s="8">
        <v>0.5877</v>
      </c>
      <c r="F97" s="8">
        <v>0.64670000000000005</v>
      </c>
      <c r="G97" s="5">
        <f t="shared" si="3"/>
        <v>0.63582000000000005</v>
      </c>
    </row>
    <row r="98" spans="1:7" ht="33" thickBot="1" x14ac:dyDescent="0.25">
      <c r="A98" s="4" t="s">
        <v>192</v>
      </c>
      <c r="B98" s="6">
        <v>0.6482</v>
      </c>
      <c r="C98" s="6">
        <v>0.64629999999999999</v>
      </c>
      <c r="D98" s="6">
        <v>0.62590000000000001</v>
      </c>
      <c r="E98" s="6">
        <v>0.60740000000000005</v>
      </c>
      <c r="F98" s="6">
        <v>0.60409999999999997</v>
      </c>
      <c r="G98" s="5">
        <f t="shared" ref="G98:G129" si="4">AVERAGE(B98:F98)</f>
        <v>0.62637999999999994</v>
      </c>
    </row>
    <row r="99" spans="1:7" ht="33" thickBot="1" x14ac:dyDescent="0.25">
      <c r="A99" s="7" t="s">
        <v>193</v>
      </c>
      <c r="B99" s="8">
        <v>0.62129999999999996</v>
      </c>
      <c r="C99" s="8">
        <v>0.6351</v>
      </c>
      <c r="D99" s="8">
        <v>0.57140000000000002</v>
      </c>
      <c r="E99" s="8">
        <v>0.49709999999999999</v>
      </c>
      <c r="F99" s="8">
        <v>0.60199999999999998</v>
      </c>
      <c r="G99" s="5">
        <f t="shared" si="4"/>
        <v>0.58538000000000001</v>
      </c>
    </row>
    <row r="100" spans="1:7" ht="17" thickBot="1" x14ac:dyDescent="0.25">
      <c r="A100" s="4" t="s">
        <v>194</v>
      </c>
      <c r="B100" s="6">
        <v>0.61429999999999996</v>
      </c>
      <c r="C100" s="6">
        <v>0.65490000000000004</v>
      </c>
      <c r="D100" s="6">
        <v>0.57589999999999997</v>
      </c>
      <c r="E100" s="6">
        <v>0.55549999999999999</v>
      </c>
      <c r="F100" s="6">
        <v>0.56140000000000001</v>
      </c>
      <c r="G100" s="5">
        <f t="shared" si="4"/>
        <v>0.59239999999999993</v>
      </c>
    </row>
    <row r="101" spans="1:7" ht="17" thickBot="1" x14ac:dyDescent="0.25">
      <c r="A101" s="7" t="s">
        <v>55</v>
      </c>
      <c r="B101" s="8">
        <v>0.60970000000000002</v>
      </c>
      <c r="C101" s="8">
        <v>0.74990000000000001</v>
      </c>
      <c r="D101" s="8">
        <v>0.64839999999999998</v>
      </c>
      <c r="E101" s="8">
        <v>0.58179999999999998</v>
      </c>
      <c r="F101" s="8">
        <v>0.57609999999999995</v>
      </c>
      <c r="G101" s="5">
        <f t="shared" si="4"/>
        <v>0.63317999999999997</v>
      </c>
    </row>
    <row r="102" spans="1:7" ht="17" thickBot="1" x14ac:dyDescent="0.25">
      <c r="A102" s="4" t="s">
        <v>53</v>
      </c>
      <c r="B102" s="6">
        <v>0.58850000000000002</v>
      </c>
      <c r="C102" s="6">
        <v>0.67759999999999998</v>
      </c>
      <c r="D102" s="6">
        <v>0.59019999999999995</v>
      </c>
      <c r="E102" s="6">
        <v>0.45500000000000002</v>
      </c>
      <c r="F102" s="6">
        <v>0.56399999999999995</v>
      </c>
      <c r="G102" s="5">
        <f t="shared" si="4"/>
        <v>0.57506000000000002</v>
      </c>
    </row>
    <row r="103" spans="1:7" ht="17" thickBot="1" x14ac:dyDescent="0.25">
      <c r="A103" s="7" t="s">
        <v>81</v>
      </c>
      <c r="B103" s="8">
        <v>0.57999999999999996</v>
      </c>
      <c r="C103" s="8">
        <v>0.60499999999999998</v>
      </c>
      <c r="D103" s="8">
        <v>0.55189999999999995</v>
      </c>
      <c r="E103" s="8">
        <v>0.50960000000000005</v>
      </c>
      <c r="F103" s="8">
        <v>0.56269999999999998</v>
      </c>
      <c r="G103" s="5">
        <f t="shared" si="4"/>
        <v>0.56184000000000001</v>
      </c>
    </row>
    <row r="104" spans="1:7" ht="17" thickBot="1" x14ac:dyDescent="0.25">
      <c r="A104" s="4" t="s">
        <v>57</v>
      </c>
      <c r="B104" s="6">
        <v>0.57850000000000001</v>
      </c>
      <c r="C104" s="6">
        <v>0.61619999999999997</v>
      </c>
      <c r="D104" s="6">
        <v>0.53149999999999997</v>
      </c>
      <c r="E104" s="6">
        <v>0.43990000000000001</v>
      </c>
      <c r="F104" s="6">
        <v>0.48080000000000001</v>
      </c>
      <c r="G104" s="5">
        <f t="shared" si="4"/>
        <v>0.52937999999999996</v>
      </c>
    </row>
    <row r="105" spans="1:7" ht="17" thickBot="1" x14ac:dyDescent="0.25">
      <c r="A105" s="7" t="s">
        <v>195</v>
      </c>
      <c r="B105" s="8">
        <v>0.5554</v>
      </c>
      <c r="C105" s="8">
        <v>0.51600000000000001</v>
      </c>
      <c r="D105" s="8">
        <v>0.44369999999999998</v>
      </c>
      <c r="E105" s="8">
        <v>0.43809999999999999</v>
      </c>
      <c r="F105" s="8">
        <v>0.50749999999999995</v>
      </c>
      <c r="G105" s="5">
        <f t="shared" si="4"/>
        <v>0.49214000000000002</v>
      </c>
    </row>
    <row r="106" spans="1:7" ht="17" thickBot="1" x14ac:dyDescent="0.25">
      <c r="A106" s="4" t="s">
        <v>71</v>
      </c>
      <c r="B106" s="6">
        <v>0.51729999999999998</v>
      </c>
      <c r="C106" s="6">
        <v>0.58830000000000005</v>
      </c>
      <c r="D106" s="6">
        <v>0.56820000000000004</v>
      </c>
      <c r="E106" s="6">
        <v>0.46689999999999998</v>
      </c>
      <c r="F106" s="6">
        <v>0.49399999999999999</v>
      </c>
      <c r="G106" s="5">
        <f t="shared" si="4"/>
        <v>0.52693999999999996</v>
      </c>
    </row>
    <row r="107" spans="1:7" ht="17" thickBot="1" x14ac:dyDescent="0.25">
      <c r="A107" s="7" t="s">
        <v>196</v>
      </c>
      <c r="B107" s="8">
        <v>0.51349999999999996</v>
      </c>
      <c r="C107" s="8">
        <v>0.50929999999999997</v>
      </c>
      <c r="D107" s="8">
        <v>0.48049999999999998</v>
      </c>
      <c r="E107" s="8">
        <v>0.44829999999999998</v>
      </c>
      <c r="F107" s="8">
        <v>0.63680000000000003</v>
      </c>
      <c r="G107" s="5">
        <f t="shared" si="4"/>
        <v>0.51768000000000003</v>
      </c>
    </row>
    <row r="108" spans="1:7" ht="17" thickBot="1" x14ac:dyDescent="0.25">
      <c r="A108" s="4" t="s">
        <v>64</v>
      </c>
      <c r="B108" s="6">
        <v>0.5091</v>
      </c>
      <c r="C108" s="6">
        <v>0.57250000000000001</v>
      </c>
      <c r="D108" s="6">
        <v>0.55269999999999997</v>
      </c>
      <c r="E108" s="6">
        <v>0.4425</v>
      </c>
      <c r="F108" s="6">
        <v>0.46939999999999998</v>
      </c>
      <c r="G108" s="5">
        <f t="shared" si="4"/>
        <v>0.50923999999999991</v>
      </c>
    </row>
    <row r="109" spans="1:7" ht="33" thickBot="1" x14ac:dyDescent="0.25">
      <c r="A109" s="7" t="s">
        <v>46</v>
      </c>
      <c r="B109" s="8">
        <v>0.50129999999999997</v>
      </c>
      <c r="C109" s="8">
        <v>0.54669999999999996</v>
      </c>
      <c r="D109" s="8">
        <v>0.49490000000000001</v>
      </c>
      <c r="E109" s="8">
        <v>0.41139999999999999</v>
      </c>
      <c r="F109" s="8">
        <v>0.45519999999999999</v>
      </c>
      <c r="G109" s="5">
        <f t="shared" si="4"/>
        <v>0.4819</v>
      </c>
    </row>
    <row r="110" spans="1:7" ht="49" thickBot="1" x14ac:dyDescent="0.25">
      <c r="A110" s="4" t="s">
        <v>43</v>
      </c>
      <c r="B110" s="6">
        <v>0.49619999999999997</v>
      </c>
      <c r="C110" s="6">
        <v>0.5423</v>
      </c>
      <c r="D110" s="6">
        <v>0.52729999999999999</v>
      </c>
      <c r="E110" s="6">
        <v>0.44290000000000002</v>
      </c>
      <c r="F110" s="6">
        <v>0.5101</v>
      </c>
      <c r="G110" s="5">
        <f t="shared" si="4"/>
        <v>0.50375999999999999</v>
      </c>
    </row>
    <row r="111" spans="1:7" ht="17" thickBot="1" x14ac:dyDescent="0.25">
      <c r="A111" s="7" t="s">
        <v>197</v>
      </c>
      <c r="B111" s="8">
        <v>0.48080000000000001</v>
      </c>
      <c r="C111" s="8">
        <v>0.45140000000000002</v>
      </c>
      <c r="D111" s="8">
        <v>0.39700000000000002</v>
      </c>
      <c r="E111" s="8">
        <v>0.44140000000000001</v>
      </c>
      <c r="F111" s="8">
        <v>0.45750000000000002</v>
      </c>
      <c r="G111" s="5">
        <f t="shared" si="4"/>
        <v>0.44562000000000007</v>
      </c>
    </row>
    <row r="112" spans="1:7" ht="17" thickBot="1" x14ac:dyDescent="0.25">
      <c r="A112" s="4" t="s">
        <v>198</v>
      </c>
      <c r="B112" s="6">
        <v>0.47939999999999999</v>
      </c>
      <c r="C112" s="6">
        <v>0.4778</v>
      </c>
      <c r="D112" s="6">
        <v>0.42280000000000001</v>
      </c>
      <c r="E112" s="6">
        <v>0.33729999999999999</v>
      </c>
      <c r="F112" s="6">
        <v>0.42270000000000002</v>
      </c>
      <c r="G112" s="5">
        <f t="shared" si="4"/>
        <v>0.42800000000000005</v>
      </c>
    </row>
    <row r="113" spans="1:7" ht="17" thickBot="1" x14ac:dyDescent="0.25">
      <c r="A113" s="7" t="s">
        <v>199</v>
      </c>
      <c r="B113" s="8">
        <v>0.46200000000000002</v>
      </c>
      <c r="C113" s="8">
        <v>0.51839999999999997</v>
      </c>
      <c r="D113" s="8">
        <v>0.47270000000000001</v>
      </c>
      <c r="E113" s="8">
        <v>0.40389999999999998</v>
      </c>
      <c r="F113" s="8">
        <v>0.46510000000000001</v>
      </c>
      <c r="G113" s="5">
        <f t="shared" si="4"/>
        <v>0.46441999999999994</v>
      </c>
    </row>
    <row r="114" spans="1:7" ht="33" thickBot="1" x14ac:dyDescent="0.25">
      <c r="A114" s="4" t="s">
        <v>200</v>
      </c>
      <c r="B114" s="6">
        <v>0.46179999999999999</v>
      </c>
      <c r="C114" s="6">
        <v>0.51419999999999999</v>
      </c>
      <c r="D114" s="6">
        <v>0.55549999999999999</v>
      </c>
      <c r="E114" s="6">
        <v>0.54800000000000004</v>
      </c>
      <c r="F114" s="6">
        <v>0.5696</v>
      </c>
      <c r="G114" s="5">
        <f t="shared" si="4"/>
        <v>0.52981999999999996</v>
      </c>
    </row>
    <row r="115" spans="1:7" ht="17" thickBot="1" x14ac:dyDescent="0.25">
      <c r="A115" s="7" t="s">
        <v>79</v>
      </c>
      <c r="B115" s="8">
        <v>0.45850000000000002</v>
      </c>
      <c r="C115" s="8">
        <v>0.49969999999999998</v>
      </c>
      <c r="D115" s="8">
        <v>0.45419999999999999</v>
      </c>
      <c r="E115" s="8">
        <v>0.37759999999999999</v>
      </c>
      <c r="F115" s="8">
        <v>0.39910000000000001</v>
      </c>
      <c r="G115" s="5">
        <f t="shared" si="4"/>
        <v>0.43781999999999999</v>
      </c>
    </row>
    <row r="116" spans="1:7" ht="49" thickBot="1" x14ac:dyDescent="0.25">
      <c r="A116" s="4" t="s">
        <v>201</v>
      </c>
      <c r="B116" s="6">
        <v>0.43480000000000002</v>
      </c>
      <c r="C116" s="6">
        <v>0.45229999999999998</v>
      </c>
      <c r="D116" s="6">
        <v>0.44159999999999999</v>
      </c>
      <c r="E116" s="6">
        <v>0.49519999999999997</v>
      </c>
      <c r="F116" s="6">
        <v>0.50070000000000003</v>
      </c>
      <c r="G116" s="5">
        <f t="shared" si="4"/>
        <v>0.46492000000000006</v>
      </c>
    </row>
    <row r="117" spans="1:7" ht="17" thickBot="1" x14ac:dyDescent="0.25">
      <c r="A117" s="7" t="s">
        <v>202</v>
      </c>
      <c r="B117" s="8">
        <v>0.42280000000000001</v>
      </c>
      <c r="C117" s="8">
        <v>0.46679999999999999</v>
      </c>
      <c r="D117" s="8">
        <v>0.4123</v>
      </c>
      <c r="E117" s="8">
        <v>0.37090000000000001</v>
      </c>
      <c r="F117" s="8">
        <v>0.49430000000000002</v>
      </c>
      <c r="G117" s="5">
        <f t="shared" si="4"/>
        <v>0.43342000000000003</v>
      </c>
    </row>
    <row r="118" spans="1:7" ht="17" thickBot="1" x14ac:dyDescent="0.25">
      <c r="A118" s="4" t="s">
        <v>203</v>
      </c>
      <c r="B118" s="6">
        <v>0.41830000000000001</v>
      </c>
      <c r="C118" s="6">
        <v>0.43259999999999998</v>
      </c>
      <c r="D118" s="6">
        <v>0.502</v>
      </c>
      <c r="E118" s="6">
        <v>0.4597</v>
      </c>
      <c r="F118" s="6">
        <v>0.49230000000000002</v>
      </c>
      <c r="G118" s="5">
        <f t="shared" si="4"/>
        <v>0.46098</v>
      </c>
    </row>
    <row r="119" spans="1:7" ht="17" thickBot="1" x14ac:dyDescent="0.25">
      <c r="A119" s="7" t="s">
        <v>204</v>
      </c>
      <c r="B119" s="8">
        <v>0.41639999999999999</v>
      </c>
      <c r="C119" s="8">
        <v>0.48970000000000002</v>
      </c>
      <c r="D119" s="8">
        <v>0.43049999999999999</v>
      </c>
      <c r="E119" s="8">
        <v>0.40920000000000001</v>
      </c>
      <c r="F119" s="8">
        <v>0.49249999999999999</v>
      </c>
      <c r="G119" s="5">
        <f t="shared" si="4"/>
        <v>0.44766000000000006</v>
      </c>
    </row>
    <row r="120" spans="1:7" ht="17" thickBot="1" x14ac:dyDescent="0.25">
      <c r="A120" s="4" t="s">
        <v>80</v>
      </c>
      <c r="B120" s="6">
        <v>0.41320000000000001</v>
      </c>
      <c r="C120" s="6">
        <v>0.45469999999999999</v>
      </c>
      <c r="D120" s="6">
        <v>0.40200000000000002</v>
      </c>
      <c r="E120" s="6">
        <v>0.32969999999999999</v>
      </c>
      <c r="F120" s="6">
        <v>0.37630000000000002</v>
      </c>
      <c r="G120" s="5">
        <f t="shared" si="4"/>
        <v>0.39518000000000003</v>
      </c>
    </row>
    <row r="121" spans="1:7" ht="17" thickBot="1" x14ac:dyDescent="0.25">
      <c r="A121" s="7" t="s">
        <v>205</v>
      </c>
      <c r="B121" s="8">
        <v>0.40589999999999998</v>
      </c>
      <c r="C121" s="8">
        <v>0.35580000000000001</v>
      </c>
      <c r="D121" s="8">
        <v>0.42099999999999999</v>
      </c>
      <c r="E121" s="8">
        <v>0.47499999999999998</v>
      </c>
      <c r="F121" s="8">
        <v>0.53269999999999995</v>
      </c>
      <c r="G121" s="5">
        <f t="shared" si="4"/>
        <v>0.43808000000000008</v>
      </c>
    </row>
    <row r="122" spans="1:7" ht="17" thickBot="1" x14ac:dyDescent="0.25">
      <c r="A122" s="4" t="s">
        <v>56</v>
      </c>
      <c r="B122" s="6">
        <v>0.40479999999999999</v>
      </c>
      <c r="C122" s="6">
        <v>0.48070000000000002</v>
      </c>
      <c r="D122" s="6">
        <v>0.40060000000000001</v>
      </c>
      <c r="E122" s="6">
        <v>0.34060000000000001</v>
      </c>
      <c r="F122" s="6">
        <v>0.37559999999999999</v>
      </c>
      <c r="G122" s="5">
        <f t="shared" si="4"/>
        <v>0.40045999999999998</v>
      </c>
    </row>
    <row r="123" spans="1:7" ht="17" thickBot="1" x14ac:dyDescent="0.25">
      <c r="A123" s="7" t="s">
        <v>206</v>
      </c>
      <c r="B123" s="8">
        <v>0.40450000000000003</v>
      </c>
      <c r="C123" s="8">
        <v>0.36980000000000002</v>
      </c>
      <c r="D123" s="8">
        <v>0.29859999999999998</v>
      </c>
      <c r="E123" s="8">
        <v>0.32129999999999997</v>
      </c>
      <c r="F123" s="8">
        <v>0.41120000000000001</v>
      </c>
      <c r="G123" s="5">
        <f t="shared" si="4"/>
        <v>0.36107999999999996</v>
      </c>
    </row>
    <row r="124" spans="1:7" ht="33" thickBot="1" x14ac:dyDescent="0.25">
      <c r="A124" s="4" t="s">
        <v>207</v>
      </c>
      <c r="B124" s="6">
        <v>0.38600000000000001</v>
      </c>
      <c r="C124" s="6">
        <v>0.41289999999999999</v>
      </c>
      <c r="D124" s="6">
        <v>0.36749999999999999</v>
      </c>
      <c r="E124" s="6">
        <v>0.33739999999999998</v>
      </c>
      <c r="F124" s="6">
        <v>0.43380000000000002</v>
      </c>
      <c r="G124" s="5">
        <f t="shared" si="4"/>
        <v>0.38751999999999998</v>
      </c>
    </row>
    <row r="125" spans="1:7" ht="17" thickBot="1" x14ac:dyDescent="0.25">
      <c r="A125" s="7" t="s">
        <v>208</v>
      </c>
      <c r="B125" s="8">
        <v>0.37769999999999998</v>
      </c>
      <c r="C125" s="8">
        <v>0.35</v>
      </c>
      <c r="D125" s="8">
        <v>0.29920000000000002</v>
      </c>
      <c r="E125" s="8">
        <v>0.27960000000000002</v>
      </c>
      <c r="F125" s="8">
        <v>0.33019999999999999</v>
      </c>
      <c r="G125" s="5">
        <f t="shared" si="4"/>
        <v>0.32734000000000002</v>
      </c>
    </row>
    <row r="126" spans="1:7" ht="17" thickBot="1" x14ac:dyDescent="0.25">
      <c r="A126" s="4" t="s">
        <v>74</v>
      </c>
      <c r="B126" s="6">
        <v>0.37319999999999998</v>
      </c>
      <c r="C126" s="6">
        <v>0.38350000000000001</v>
      </c>
      <c r="D126" s="6">
        <v>0.373</v>
      </c>
      <c r="E126" s="6">
        <v>0.34749999999999998</v>
      </c>
      <c r="F126" s="6">
        <v>0.3589</v>
      </c>
      <c r="G126" s="5">
        <f t="shared" si="4"/>
        <v>0.36721999999999999</v>
      </c>
    </row>
    <row r="127" spans="1:7" ht="17" thickBot="1" x14ac:dyDescent="0.25">
      <c r="A127" s="7" t="s">
        <v>209</v>
      </c>
      <c r="B127" s="8">
        <v>0.37230000000000002</v>
      </c>
      <c r="C127" s="8">
        <v>0.34510000000000002</v>
      </c>
      <c r="D127" s="8">
        <v>0.41710000000000003</v>
      </c>
      <c r="E127" s="8">
        <v>0.37</v>
      </c>
      <c r="F127" s="8">
        <v>0.39360000000000001</v>
      </c>
      <c r="G127" s="5">
        <f t="shared" si="4"/>
        <v>0.37962000000000001</v>
      </c>
    </row>
    <row r="128" spans="1:7" ht="33" thickBot="1" x14ac:dyDescent="0.25">
      <c r="A128" s="4" t="s">
        <v>210</v>
      </c>
      <c r="B128" s="6">
        <v>0.35170000000000001</v>
      </c>
      <c r="C128" s="6">
        <v>0.38969999999999999</v>
      </c>
      <c r="D128" s="6">
        <v>0.3306</v>
      </c>
      <c r="E128" s="6">
        <v>0.3594</v>
      </c>
      <c r="F128" s="6">
        <v>0.44290000000000002</v>
      </c>
      <c r="G128" s="5">
        <f t="shared" si="4"/>
        <v>0.37486000000000003</v>
      </c>
    </row>
    <row r="129" spans="1:7" ht="17" thickBot="1" x14ac:dyDescent="0.25">
      <c r="A129" s="7" t="s">
        <v>54</v>
      </c>
      <c r="B129" s="8">
        <v>0.33850000000000002</v>
      </c>
      <c r="C129" s="8">
        <v>0.38819999999999999</v>
      </c>
      <c r="D129" s="8">
        <v>0.37659999999999999</v>
      </c>
      <c r="E129" s="8">
        <v>0.32300000000000001</v>
      </c>
      <c r="F129" s="8">
        <v>0.28889999999999999</v>
      </c>
      <c r="G129" s="5">
        <f t="shared" si="4"/>
        <v>0.34303999999999996</v>
      </c>
    </row>
    <row r="130" spans="1:7" ht="17" thickBot="1" x14ac:dyDescent="0.25">
      <c r="A130" s="4" t="s">
        <v>211</v>
      </c>
      <c r="B130" s="6">
        <v>0.32419999999999999</v>
      </c>
      <c r="C130" s="6">
        <v>0.33729999999999999</v>
      </c>
      <c r="D130" s="6">
        <v>0.30690000000000001</v>
      </c>
      <c r="E130" s="6">
        <v>0.27239999999999998</v>
      </c>
      <c r="F130" s="6">
        <v>0.31759999999999999</v>
      </c>
      <c r="G130" s="5">
        <f t="shared" ref="G130:G161" si="5">AVERAGE(B130:F130)</f>
        <v>0.31167999999999996</v>
      </c>
    </row>
    <row r="131" spans="1:7" ht="33" thickBot="1" x14ac:dyDescent="0.25">
      <c r="A131" s="7" t="s">
        <v>212</v>
      </c>
      <c r="B131" s="8">
        <v>0.30980000000000002</v>
      </c>
      <c r="C131" s="8">
        <v>0.33779999999999999</v>
      </c>
      <c r="D131" s="8">
        <v>0.2772</v>
      </c>
      <c r="E131" s="8">
        <v>0.26269999999999999</v>
      </c>
      <c r="F131" s="8">
        <v>0.31580000000000003</v>
      </c>
      <c r="G131" s="5">
        <f t="shared" si="5"/>
        <v>0.30066000000000004</v>
      </c>
    </row>
    <row r="132" spans="1:7" ht="17" thickBot="1" x14ac:dyDescent="0.25">
      <c r="A132" s="4" t="s">
        <v>47</v>
      </c>
      <c r="B132" s="6">
        <v>0.30790000000000001</v>
      </c>
      <c r="C132" s="6">
        <v>0.36530000000000001</v>
      </c>
      <c r="D132" s="6">
        <v>0.37169999999999997</v>
      </c>
      <c r="E132" s="6">
        <v>0.34460000000000002</v>
      </c>
      <c r="F132" s="6">
        <v>0.44569999999999999</v>
      </c>
      <c r="G132" s="5">
        <f t="shared" si="5"/>
        <v>0.36703999999999998</v>
      </c>
    </row>
    <row r="133" spans="1:7" ht="17" thickBot="1" x14ac:dyDescent="0.25">
      <c r="A133" s="7" t="s">
        <v>213</v>
      </c>
      <c r="B133" s="8">
        <v>0.30420000000000003</v>
      </c>
      <c r="C133" s="8">
        <v>0.31330000000000002</v>
      </c>
      <c r="D133" s="8">
        <v>0.37019999999999997</v>
      </c>
      <c r="E133" s="8">
        <v>0.35510000000000003</v>
      </c>
      <c r="F133" s="8">
        <v>0.371</v>
      </c>
      <c r="G133" s="5">
        <f t="shared" si="5"/>
        <v>0.34276000000000001</v>
      </c>
    </row>
    <row r="134" spans="1:7" ht="17" thickBot="1" x14ac:dyDescent="0.25">
      <c r="A134" s="4" t="s">
        <v>214</v>
      </c>
      <c r="B134" s="6">
        <v>0.2959</v>
      </c>
      <c r="C134" s="6">
        <v>0.28320000000000001</v>
      </c>
      <c r="D134" s="6">
        <v>0.28820000000000001</v>
      </c>
      <c r="E134" s="6">
        <v>0.26769999999999999</v>
      </c>
      <c r="F134" s="6">
        <v>0.2903</v>
      </c>
      <c r="G134" s="5">
        <f t="shared" si="5"/>
        <v>0.28505999999999998</v>
      </c>
    </row>
    <row r="135" spans="1:7" ht="17" thickBot="1" x14ac:dyDescent="0.25">
      <c r="A135" s="7" t="s">
        <v>215</v>
      </c>
      <c r="B135" s="8">
        <v>0.28100000000000003</v>
      </c>
      <c r="C135" s="8">
        <v>0.33040000000000003</v>
      </c>
      <c r="D135" s="8">
        <v>0.27029999999999998</v>
      </c>
      <c r="E135" s="8">
        <v>0.26719999999999999</v>
      </c>
      <c r="F135" s="8">
        <v>0.28910000000000002</v>
      </c>
      <c r="G135" s="5">
        <f t="shared" si="5"/>
        <v>0.28760000000000002</v>
      </c>
    </row>
    <row r="136" spans="1:7" ht="17" thickBot="1" x14ac:dyDescent="0.25">
      <c r="A136" s="4" t="s">
        <v>52</v>
      </c>
      <c r="B136" s="6">
        <v>0.2697</v>
      </c>
      <c r="C136" s="6">
        <v>0.3165</v>
      </c>
      <c r="D136" s="6">
        <v>0.32929999999999998</v>
      </c>
      <c r="E136" s="6">
        <v>0.30199999999999999</v>
      </c>
      <c r="F136" s="6">
        <v>0.32629999999999998</v>
      </c>
      <c r="G136" s="5">
        <f t="shared" si="5"/>
        <v>0.30876000000000003</v>
      </c>
    </row>
    <row r="137" spans="1:7" ht="17" thickBot="1" x14ac:dyDescent="0.25">
      <c r="A137" s="7" t="s">
        <v>216</v>
      </c>
      <c r="B137" s="8">
        <v>0.2059</v>
      </c>
      <c r="C137" s="8">
        <v>0.26600000000000001</v>
      </c>
      <c r="D137" s="8">
        <v>0.24349999999999999</v>
      </c>
      <c r="E137" s="8">
        <v>0.24010000000000001</v>
      </c>
      <c r="F137" s="8">
        <v>0.28820000000000001</v>
      </c>
      <c r="G137" s="5">
        <f t="shared" si="5"/>
        <v>0.24874000000000002</v>
      </c>
    </row>
    <row r="138" spans="1:7" ht="17" thickBot="1" x14ac:dyDescent="0.25">
      <c r="A138" s="4" t="s">
        <v>217</v>
      </c>
      <c r="B138" s="6">
        <v>2.2100000000000002E-2</v>
      </c>
      <c r="C138" s="6">
        <v>2.7E-2</v>
      </c>
      <c r="D138" s="6">
        <v>4.1300000000000003E-2</v>
      </c>
      <c r="E138" s="6">
        <v>9.9599999999999994E-2</v>
      </c>
      <c r="F138" s="6">
        <v>0.26119999999999999</v>
      </c>
      <c r="G138" s="5">
        <f t="shared" si="5"/>
        <v>9.0240000000000001E-2</v>
      </c>
    </row>
    <row r="139" spans="1:7" ht="33" thickBot="1" x14ac:dyDescent="0.25">
      <c r="A139" s="7" t="s">
        <v>38</v>
      </c>
      <c r="B139" s="8">
        <v>0</v>
      </c>
      <c r="C139" s="8">
        <v>0</v>
      </c>
      <c r="D139" s="8">
        <v>0</v>
      </c>
      <c r="E139" s="8">
        <v>1.0547</v>
      </c>
      <c r="F139" s="8">
        <v>1.1484000000000001</v>
      </c>
      <c r="G139" s="5">
        <f t="shared" si="5"/>
        <v>0.44062000000000001</v>
      </c>
    </row>
    <row r="140" spans="1:7" ht="17" thickBot="1" x14ac:dyDescent="0.25">
      <c r="A140" s="4" t="s">
        <v>218</v>
      </c>
      <c r="B140" s="6">
        <v>0</v>
      </c>
      <c r="C140" s="6">
        <v>0.9254</v>
      </c>
      <c r="D140" s="6">
        <v>0.82799999999999996</v>
      </c>
      <c r="E140" s="6">
        <v>1.0633999999999999</v>
      </c>
      <c r="F140" s="6">
        <v>1.1509</v>
      </c>
      <c r="G140" s="5">
        <f t="shared" si="5"/>
        <v>0.79353999999999991</v>
      </c>
    </row>
    <row r="141" spans="1:7" ht="49" thickBot="1" x14ac:dyDescent="0.25">
      <c r="A141" s="7" t="s">
        <v>219</v>
      </c>
      <c r="B141" s="8">
        <v>0</v>
      </c>
      <c r="C141" s="8">
        <v>0</v>
      </c>
      <c r="D141" s="8">
        <v>0.97850000000000004</v>
      </c>
      <c r="E141" s="8">
        <v>0.48399999999999999</v>
      </c>
      <c r="F141" s="8">
        <v>0.42</v>
      </c>
      <c r="G141" s="5">
        <f t="shared" si="5"/>
        <v>0.37649999999999995</v>
      </c>
    </row>
    <row r="142" spans="1:7" ht="33" thickBot="1" x14ac:dyDescent="0.25">
      <c r="A142" s="4" t="s">
        <v>220</v>
      </c>
      <c r="B142" s="6">
        <v>0</v>
      </c>
      <c r="C142" s="6">
        <v>1.1738999999999999</v>
      </c>
      <c r="D142" s="6">
        <v>1.0025999999999999</v>
      </c>
      <c r="E142" s="6">
        <v>0.78990000000000005</v>
      </c>
      <c r="F142" s="6">
        <v>0.94430000000000003</v>
      </c>
      <c r="G142" s="5">
        <f t="shared" si="5"/>
        <v>0.78214000000000006</v>
      </c>
    </row>
    <row r="143" spans="1:7" ht="49" thickBot="1" x14ac:dyDescent="0.25">
      <c r="A143" s="7" t="s">
        <v>221</v>
      </c>
      <c r="B143" s="8">
        <v>0</v>
      </c>
      <c r="C143" s="8">
        <v>0</v>
      </c>
      <c r="D143" s="8">
        <v>0</v>
      </c>
      <c r="E143" s="8">
        <v>0.77390000000000003</v>
      </c>
      <c r="F143" s="8">
        <v>1.0457000000000001</v>
      </c>
      <c r="G143" s="5">
        <f t="shared" si="5"/>
        <v>0.36392000000000002</v>
      </c>
    </row>
    <row r="144" spans="1:7" ht="17" thickBot="1" x14ac:dyDescent="0.25">
      <c r="A144" s="4" t="s">
        <v>222</v>
      </c>
      <c r="B144" s="6">
        <v>0</v>
      </c>
      <c r="C144" s="6">
        <v>0.71870000000000001</v>
      </c>
      <c r="D144" s="6">
        <v>0.61839999999999995</v>
      </c>
      <c r="E144" s="6">
        <v>0.63670000000000004</v>
      </c>
      <c r="F144" s="6">
        <v>0.78059999999999996</v>
      </c>
      <c r="G144" s="5">
        <f t="shared" si="5"/>
        <v>0.55088000000000004</v>
      </c>
    </row>
    <row r="145" spans="1:7" ht="49" thickBot="1" x14ac:dyDescent="0.25">
      <c r="A145" s="7" t="s">
        <v>223</v>
      </c>
      <c r="B145" s="8">
        <v>0</v>
      </c>
      <c r="C145" s="8">
        <v>0</v>
      </c>
      <c r="D145" s="8">
        <v>1.8317000000000001</v>
      </c>
      <c r="E145" s="8">
        <v>1.1471</v>
      </c>
      <c r="F145" s="8">
        <v>1.554</v>
      </c>
      <c r="G145" s="5">
        <f t="shared" si="5"/>
        <v>0.90656000000000003</v>
      </c>
    </row>
    <row r="146" spans="1:7" ht="33" thickBot="1" x14ac:dyDescent="0.25">
      <c r="A146" s="4" t="s">
        <v>224</v>
      </c>
      <c r="B146" s="6">
        <v>0</v>
      </c>
      <c r="C146" s="6">
        <v>1.3555999999999999</v>
      </c>
      <c r="D146" s="6">
        <v>1.1208</v>
      </c>
      <c r="E146" s="6">
        <v>0.99909999999999999</v>
      </c>
      <c r="F146" s="6">
        <v>1.0559000000000001</v>
      </c>
      <c r="G146" s="5">
        <f t="shared" si="5"/>
        <v>0.90627999999999997</v>
      </c>
    </row>
    <row r="147" spans="1:7" ht="17" thickBot="1" x14ac:dyDescent="0.25">
      <c r="A147" s="7" t="s">
        <v>225</v>
      </c>
      <c r="B147" s="8">
        <v>0</v>
      </c>
      <c r="C147" s="8">
        <v>0</v>
      </c>
      <c r="D147" s="8">
        <v>0</v>
      </c>
      <c r="E147" s="8">
        <v>1.6657</v>
      </c>
      <c r="F147" s="8">
        <v>1.6738</v>
      </c>
      <c r="G147" s="5">
        <f t="shared" si="5"/>
        <v>0.66790000000000005</v>
      </c>
    </row>
    <row r="148" spans="1:7" ht="17" thickBot="1" x14ac:dyDescent="0.25">
      <c r="A148" s="4" t="s">
        <v>226</v>
      </c>
      <c r="B148" s="6">
        <v>0</v>
      </c>
      <c r="C148" s="6">
        <v>1.8379000000000001</v>
      </c>
      <c r="D148" s="6">
        <v>1.8668</v>
      </c>
      <c r="E148" s="6">
        <v>1.6325000000000001</v>
      </c>
      <c r="F148" s="6">
        <v>1.647</v>
      </c>
      <c r="G148" s="5">
        <f t="shared" si="5"/>
        <v>1.3968400000000001</v>
      </c>
    </row>
    <row r="149" spans="1:7" ht="17" thickBot="1" x14ac:dyDescent="0.25">
      <c r="A149" s="7" t="s">
        <v>227</v>
      </c>
      <c r="B149" s="8">
        <v>0</v>
      </c>
      <c r="C149" s="8">
        <v>0</v>
      </c>
      <c r="D149" s="8">
        <v>0.61499999999999999</v>
      </c>
      <c r="E149" s="8">
        <v>0.57740000000000002</v>
      </c>
      <c r="F149" s="8">
        <v>0.68989999999999996</v>
      </c>
      <c r="G149" s="5">
        <f t="shared" si="5"/>
        <v>0.37646000000000002</v>
      </c>
    </row>
    <row r="150" spans="1:7" ht="17" thickBot="1" x14ac:dyDescent="0.25">
      <c r="A150" s="4" t="s">
        <v>34</v>
      </c>
      <c r="B150" s="6">
        <v>0</v>
      </c>
      <c r="C150" s="6">
        <v>0.76459999999999995</v>
      </c>
      <c r="D150" s="6">
        <v>0.69869999999999999</v>
      </c>
      <c r="E150" s="6">
        <v>0.64739999999999998</v>
      </c>
      <c r="F150" s="6">
        <v>0.80459999999999998</v>
      </c>
      <c r="G150" s="5">
        <f t="shared" si="5"/>
        <v>0.58305999999999991</v>
      </c>
    </row>
    <row r="151" spans="1:7" ht="17" thickBot="1" x14ac:dyDescent="0.25">
      <c r="A151" s="7" t="s">
        <v>228</v>
      </c>
      <c r="B151" s="8">
        <v>0</v>
      </c>
      <c r="C151" s="8">
        <v>1.4574</v>
      </c>
      <c r="D151" s="8">
        <v>1.3855999999999999</v>
      </c>
      <c r="E151" s="8">
        <v>1.4078999999999999</v>
      </c>
      <c r="F151" s="8">
        <v>1.4052</v>
      </c>
      <c r="G151" s="5">
        <f t="shared" si="5"/>
        <v>1.1312199999999999</v>
      </c>
    </row>
    <row r="152" spans="1:7" ht="17" thickBot="1" x14ac:dyDescent="0.25">
      <c r="A152" s="4" t="s">
        <v>229</v>
      </c>
      <c r="B152" s="6">
        <v>0</v>
      </c>
      <c r="C152" s="6">
        <v>0.70760000000000001</v>
      </c>
      <c r="D152" s="6">
        <v>0.61819999999999997</v>
      </c>
      <c r="E152" s="6">
        <v>0.62970000000000004</v>
      </c>
      <c r="F152" s="6">
        <v>0.99380000000000002</v>
      </c>
      <c r="G152" s="5">
        <f t="shared" si="5"/>
        <v>0.58986000000000005</v>
      </c>
    </row>
    <row r="153" spans="1:7" ht="17" thickBot="1" x14ac:dyDescent="0.25">
      <c r="A153" s="7" t="s">
        <v>230</v>
      </c>
      <c r="B153" s="8">
        <v>0</v>
      </c>
      <c r="C153" s="8">
        <v>1.6792</v>
      </c>
      <c r="D153" s="8">
        <v>1.1064000000000001</v>
      </c>
      <c r="E153" s="8">
        <v>1.3494999999999999</v>
      </c>
      <c r="F153" s="8">
        <v>1.56</v>
      </c>
      <c r="G153" s="5">
        <f t="shared" si="5"/>
        <v>1.1390199999999999</v>
      </c>
    </row>
    <row r="154" spans="1:7" ht="33" thickBot="1" x14ac:dyDescent="0.25">
      <c r="A154" s="4" t="s">
        <v>231</v>
      </c>
      <c r="B154" s="6">
        <v>0</v>
      </c>
      <c r="C154" s="6">
        <v>1.1994</v>
      </c>
      <c r="D154" s="6">
        <v>1.1805000000000001</v>
      </c>
      <c r="E154" s="6">
        <v>1.0829</v>
      </c>
      <c r="F154" s="6">
        <v>1.536</v>
      </c>
      <c r="G154" s="5">
        <f t="shared" si="5"/>
        <v>0.99975999999999998</v>
      </c>
    </row>
    <row r="155" spans="1:7" ht="17" thickBot="1" x14ac:dyDescent="0.25">
      <c r="A155" s="7" t="s">
        <v>232</v>
      </c>
      <c r="B155" s="8">
        <v>0</v>
      </c>
      <c r="C155" s="8">
        <v>0.85929999999999995</v>
      </c>
      <c r="D155" s="8">
        <v>0.77580000000000005</v>
      </c>
      <c r="E155" s="8">
        <v>0.71830000000000005</v>
      </c>
      <c r="F155" s="8">
        <v>0.76119999999999999</v>
      </c>
      <c r="G155" s="5">
        <f t="shared" si="5"/>
        <v>0.62292000000000003</v>
      </c>
    </row>
    <row r="156" spans="1:7" ht="33" thickBot="1" x14ac:dyDescent="0.25">
      <c r="A156" s="4" t="s">
        <v>233</v>
      </c>
      <c r="B156" s="6">
        <v>0</v>
      </c>
      <c r="C156" s="6">
        <v>1.2467999999999999</v>
      </c>
      <c r="D156" s="6">
        <v>1.3680000000000001</v>
      </c>
      <c r="E156" s="6">
        <v>1.5437000000000001</v>
      </c>
      <c r="F156" s="6">
        <v>1.5657000000000001</v>
      </c>
      <c r="G156" s="5">
        <f t="shared" si="5"/>
        <v>1.1448399999999999</v>
      </c>
    </row>
    <row r="157" spans="1:7" ht="33" thickBot="1" x14ac:dyDescent="0.25">
      <c r="A157" s="7" t="s">
        <v>234</v>
      </c>
      <c r="B157" s="8">
        <v>0</v>
      </c>
      <c r="C157" s="8">
        <v>0.54090000000000005</v>
      </c>
      <c r="D157" s="8">
        <v>0.48549999999999999</v>
      </c>
      <c r="E157" s="8">
        <v>0.43980000000000002</v>
      </c>
      <c r="F157" s="8">
        <v>0.54459999999999997</v>
      </c>
      <c r="G157" s="5">
        <f t="shared" si="5"/>
        <v>0.40215999999999996</v>
      </c>
    </row>
    <row r="158" spans="1:7" ht="17" thickBot="1" x14ac:dyDescent="0.25">
      <c r="A158" s="4" t="s">
        <v>235</v>
      </c>
      <c r="B158" s="6">
        <v>0</v>
      </c>
      <c r="C158" s="6">
        <v>0</v>
      </c>
      <c r="D158" s="6">
        <v>1.5987</v>
      </c>
      <c r="E158" s="6">
        <v>1.4021999999999999</v>
      </c>
      <c r="F158" s="6">
        <v>1.417</v>
      </c>
      <c r="G158" s="5">
        <f t="shared" si="5"/>
        <v>0.88357999999999992</v>
      </c>
    </row>
    <row r="159" spans="1:7" ht="17" thickBot="1" x14ac:dyDescent="0.25">
      <c r="A159" s="7" t="s">
        <v>236</v>
      </c>
      <c r="B159" s="8">
        <v>0</v>
      </c>
      <c r="C159" s="8">
        <v>0.65439999999999998</v>
      </c>
      <c r="D159" s="8">
        <v>0.71830000000000005</v>
      </c>
      <c r="E159" s="8">
        <v>0.5575</v>
      </c>
      <c r="F159" s="8">
        <v>0.5605</v>
      </c>
      <c r="G159" s="5">
        <f t="shared" si="5"/>
        <v>0.49814000000000008</v>
      </c>
    </row>
    <row r="160" spans="1:7" ht="17" thickBot="1" x14ac:dyDescent="0.25">
      <c r="A160" s="4" t="s">
        <v>237</v>
      </c>
      <c r="B160" s="6">
        <v>0</v>
      </c>
      <c r="C160" s="6">
        <v>0</v>
      </c>
      <c r="D160" s="6">
        <v>0</v>
      </c>
      <c r="E160" s="6">
        <v>0</v>
      </c>
      <c r="F160" s="6">
        <v>0.96409999999999996</v>
      </c>
      <c r="G160" s="5">
        <f t="shared" si="5"/>
        <v>0.19281999999999999</v>
      </c>
    </row>
    <row r="161" spans="1:7" ht="49" thickBot="1" x14ac:dyDescent="0.25">
      <c r="A161" s="7" t="s">
        <v>238</v>
      </c>
      <c r="B161" s="8">
        <v>0</v>
      </c>
      <c r="C161" s="8">
        <v>1.1762999999999999</v>
      </c>
      <c r="D161" s="8">
        <v>1.0112000000000001</v>
      </c>
      <c r="E161" s="8">
        <v>0.94350000000000001</v>
      </c>
      <c r="F161" s="8">
        <v>1.3763000000000001</v>
      </c>
      <c r="G161" s="5">
        <f t="shared" si="5"/>
        <v>0.90146000000000015</v>
      </c>
    </row>
    <row r="162" spans="1:7" ht="17" thickBot="1" x14ac:dyDescent="0.25">
      <c r="A162" s="4" t="s">
        <v>239</v>
      </c>
      <c r="B162" s="6">
        <v>0</v>
      </c>
      <c r="C162" s="6">
        <v>0</v>
      </c>
      <c r="D162" s="6">
        <v>0.93920000000000003</v>
      </c>
      <c r="E162" s="6">
        <v>0.91879999999999995</v>
      </c>
      <c r="F162" s="6">
        <v>0.86480000000000001</v>
      </c>
      <c r="G162" s="5">
        <f t="shared" ref="G162:G183" si="6">AVERAGE(B162:F162)</f>
        <v>0.54456000000000004</v>
      </c>
    </row>
    <row r="163" spans="1:7" ht="17" thickBot="1" x14ac:dyDescent="0.25">
      <c r="A163" s="7" t="s">
        <v>49</v>
      </c>
      <c r="B163" s="8">
        <v>0</v>
      </c>
      <c r="C163" s="8">
        <v>0</v>
      </c>
      <c r="D163" s="8">
        <v>0</v>
      </c>
      <c r="E163" s="8">
        <v>0</v>
      </c>
      <c r="F163" s="8">
        <v>0.90110000000000001</v>
      </c>
      <c r="G163" s="5">
        <f t="shared" si="6"/>
        <v>0.18021999999999999</v>
      </c>
    </row>
    <row r="164" spans="1:7" ht="33" thickBot="1" x14ac:dyDescent="0.25">
      <c r="A164" s="4" t="s">
        <v>240</v>
      </c>
      <c r="B164" s="6">
        <v>0</v>
      </c>
      <c r="C164" s="6">
        <v>0.78039999999999998</v>
      </c>
      <c r="D164" s="6">
        <v>0.66639999999999999</v>
      </c>
      <c r="E164" s="6">
        <v>0.60219999999999996</v>
      </c>
      <c r="F164" s="6">
        <v>0.83</v>
      </c>
      <c r="G164" s="5">
        <f t="shared" si="6"/>
        <v>0.57579999999999998</v>
      </c>
    </row>
    <row r="165" spans="1:7" ht="33" thickBot="1" x14ac:dyDescent="0.25">
      <c r="A165" s="7" t="s">
        <v>241</v>
      </c>
      <c r="B165" s="8">
        <v>0</v>
      </c>
      <c r="C165" s="8">
        <v>0.27039999999999997</v>
      </c>
      <c r="D165" s="8">
        <v>0.2525</v>
      </c>
      <c r="E165" s="8">
        <v>0.23100000000000001</v>
      </c>
      <c r="F165" s="8">
        <v>0.26279999999999998</v>
      </c>
      <c r="G165" s="5">
        <f t="shared" si="6"/>
        <v>0.20333999999999999</v>
      </c>
    </row>
    <row r="166" spans="1:7" ht="33" thickBot="1" x14ac:dyDescent="0.25">
      <c r="A166" s="4" t="s">
        <v>242</v>
      </c>
      <c r="B166" s="6">
        <v>0</v>
      </c>
      <c r="C166" s="6">
        <v>1.2491000000000001</v>
      </c>
      <c r="D166" s="6">
        <v>1.0475000000000001</v>
      </c>
      <c r="E166" s="6">
        <v>0.96509999999999996</v>
      </c>
      <c r="F166" s="6">
        <v>1.0862000000000001</v>
      </c>
      <c r="G166" s="5">
        <f t="shared" si="6"/>
        <v>0.86958000000000002</v>
      </c>
    </row>
    <row r="167" spans="1:7" ht="17" thickBot="1" x14ac:dyDescent="0.25">
      <c r="A167" s="7" t="s">
        <v>243</v>
      </c>
      <c r="B167" s="8">
        <v>0</v>
      </c>
      <c r="C167" s="8">
        <v>0</v>
      </c>
      <c r="D167" s="8">
        <v>0.80489999999999995</v>
      </c>
      <c r="E167" s="8">
        <v>0.66279999999999994</v>
      </c>
      <c r="F167" s="8">
        <v>0.85819999999999996</v>
      </c>
      <c r="G167" s="5">
        <f t="shared" si="6"/>
        <v>0.46517999999999998</v>
      </c>
    </row>
    <row r="168" spans="1:7" ht="33" thickBot="1" x14ac:dyDescent="0.25">
      <c r="A168" s="4" t="s">
        <v>244</v>
      </c>
      <c r="B168" s="6">
        <v>0</v>
      </c>
      <c r="C168" s="6">
        <v>0.97640000000000005</v>
      </c>
      <c r="D168" s="6">
        <v>0.99890000000000001</v>
      </c>
      <c r="E168" s="6">
        <v>0.84750000000000003</v>
      </c>
      <c r="F168" s="6">
        <v>0.70809999999999995</v>
      </c>
      <c r="G168" s="5">
        <f t="shared" si="6"/>
        <v>0.70618000000000003</v>
      </c>
    </row>
    <row r="169" spans="1:7" ht="17" thickBot="1" x14ac:dyDescent="0.25">
      <c r="A169" s="7" t="s">
        <v>32</v>
      </c>
      <c r="B169" s="8">
        <v>0</v>
      </c>
      <c r="C169" s="8">
        <v>1.6046</v>
      </c>
      <c r="D169" s="8">
        <v>1.399</v>
      </c>
      <c r="E169" s="8">
        <v>1.2416</v>
      </c>
      <c r="F169" s="8">
        <v>1.4534</v>
      </c>
      <c r="G169" s="5">
        <f t="shared" si="6"/>
        <v>1.1397200000000001</v>
      </c>
    </row>
    <row r="170" spans="1:7" ht="17" thickBot="1" x14ac:dyDescent="0.25">
      <c r="A170" s="4" t="s">
        <v>245</v>
      </c>
      <c r="B170" s="6">
        <v>0</v>
      </c>
      <c r="C170" s="6">
        <v>1.1489</v>
      </c>
      <c r="D170" s="6">
        <v>0.7883</v>
      </c>
      <c r="E170" s="6">
        <v>0.50129999999999997</v>
      </c>
      <c r="F170" s="6">
        <v>0.62980000000000003</v>
      </c>
      <c r="G170" s="5">
        <f t="shared" si="6"/>
        <v>0.61365999999999998</v>
      </c>
    </row>
    <row r="171" spans="1:7" ht="17" thickBot="1" x14ac:dyDescent="0.25">
      <c r="A171" s="7" t="s">
        <v>62</v>
      </c>
      <c r="B171" s="8">
        <v>0</v>
      </c>
      <c r="C171" s="8">
        <v>0.95909999999999995</v>
      </c>
      <c r="D171" s="8">
        <v>0.78759999999999997</v>
      </c>
      <c r="E171" s="8">
        <v>0.67410000000000003</v>
      </c>
      <c r="F171" s="8">
        <v>0.80510000000000004</v>
      </c>
      <c r="G171" s="5">
        <f t="shared" si="6"/>
        <v>0.64517999999999998</v>
      </c>
    </row>
    <row r="172" spans="1:7" ht="17" thickBot="1" x14ac:dyDescent="0.25">
      <c r="A172" s="4" t="s">
        <v>246</v>
      </c>
      <c r="B172" s="6">
        <v>0</v>
      </c>
      <c r="C172" s="6">
        <v>0.91420000000000001</v>
      </c>
      <c r="D172" s="6">
        <v>0.88949999999999996</v>
      </c>
      <c r="E172" s="6">
        <v>0.86880000000000002</v>
      </c>
      <c r="F172" s="6">
        <v>0.8861</v>
      </c>
      <c r="G172" s="5">
        <f t="shared" si="6"/>
        <v>0.71172000000000002</v>
      </c>
    </row>
    <row r="173" spans="1:7" ht="17" thickBot="1" x14ac:dyDescent="0.25">
      <c r="A173" s="7" t="s">
        <v>247</v>
      </c>
      <c r="B173" s="8">
        <v>0</v>
      </c>
      <c r="C173" s="8">
        <v>0.46839999999999998</v>
      </c>
      <c r="D173" s="8">
        <v>0.36770000000000003</v>
      </c>
      <c r="E173" s="8">
        <v>0.31330000000000002</v>
      </c>
      <c r="F173" s="8">
        <v>0.35220000000000001</v>
      </c>
      <c r="G173" s="5">
        <f t="shared" si="6"/>
        <v>0.30032000000000003</v>
      </c>
    </row>
    <row r="174" spans="1:7" ht="33" thickBot="1" x14ac:dyDescent="0.25">
      <c r="A174" s="4" t="s">
        <v>248</v>
      </c>
      <c r="B174" s="6">
        <v>0</v>
      </c>
      <c r="C174" s="6">
        <v>0.67230000000000001</v>
      </c>
      <c r="D174" s="6">
        <v>0.51639999999999997</v>
      </c>
      <c r="E174" s="6">
        <v>0.46439999999999998</v>
      </c>
      <c r="F174" s="6">
        <v>0.6331</v>
      </c>
      <c r="G174" s="5">
        <f t="shared" si="6"/>
        <v>0.45723999999999998</v>
      </c>
    </row>
    <row r="175" spans="1:7" ht="17" thickBot="1" x14ac:dyDescent="0.25">
      <c r="A175" s="7" t="s">
        <v>249</v>
      </c>
      <c r="B175" s="8">
        <v>0</v>
      </c>
      <c r="C175" s="8">
        <v>0</v>
      </c>
      <c r="D175" s="8">
        <v>0.73370000000000002</v>
      </c>
      <c r="E175" s="8">
        <v>0.85529999999999995</v>
      </c>
      <c r="F175" s="8">
        <v>0.87170000000000003</v>
      </c>
      <c r="G175" s="5">
        <f t="shared" si="6"/>
        <v>0.49214000000000002</v>
      </c>
    </row>
    <row r="176" spans="1:7" ht="33" thickBot="1" x14ac:dyDescent="0.25">
      <c r="A176" s="4" t="s">
        <v>250</v>
      </c>
      <c r="B176" s="6">
        <v>0</v>
      </c>
      <c r="C176" s="6">
        <v>0.72889999999999999</v>
      </c>
      <c r="D176" s="6">
        <v>0.5141</v>
      </c>
      <c r="E176" s="6">
        <v>0.46710000000000002</v>
      </c>
      <c r="F176" s="6">
        <v>0</v>
      </c>
      <c r="G176" s="5">
        <f t="shared" si="6"/>
        <v>0.34201999999999999</v>
      </c>
    </row>
    <row r="177" spans="1:7" ht="17" thickBot="1" x14ac:dyDescent="0.25">
      <c r="A177" s="7" t="s">
        <v>40</v>
      </c>
      <c r="B177" s="8">
        <v>0</v>
      </c>
      <c r="C177" s="8">
        <v>0.88800000000000001</v>
      </c>
      <c r="D177" s="8">
        <v>0.80020000000000002</v>
      </c>
      <c r="E177" s="8">
        <v>0.15679999999999999</v>
      </c>
      <c r="F177" s="8">
        <v>0.22819999999999999</v>
      </c>
      <c r="G177" s="5">
        <f t="shared" si="6"/>
        <v>0.41464000000000006</v>
      </c>
    </row>
    <row r="178" spans="1:7" ht="17" thickBot="1" x14ac:dyDescent="0.25">
      <c r="A178" s="4" t="s">
        <v>251</v>
      </c>
      <c r="B178" s="6">
        <v>0</v>
      </c>
      <c r="C178" s="6">
        <v>0.64959999999999996</v>
      </c>
      <c r="D178" s="6">
        <v>0.50849999999999995</v>
      </c>
      <c r="E178" s="6">
        <v>0.47310000000000002</v>
      </c>
      <c r="F178" s="6">
        <v>0.55800000000000005</v>
      </c>
      <c r="G178" s="5">
        <f t="shared" si="6"/>
        <v>0.43784000000000001</v>
      </c>
    </row>
    <row r="179" spans="1:7" ht="33" thickBot="1" x14ac:dyDescent="0.25">
      <c r="A179" s="7" t="s">
        <v>252</v>
      </c>
      <c r="B179" s="8">
        <v>0</v>
      </c>
      <c r="C179" s="8">
        <v>0.68110000000000004</v>
      </c>
      <c r="D179" s="8">
        <v>0.5867</v>
      </c>
      <c r="E179" s="8">
        <v>0.57030000000000003</v>
      </c>
      <c r="F179" s="8">
        <v>0.64859999999999995</v>
      </c>
      <c r="G179" s="5">
        <f t="shared" si="6"/>
        <v>0.49734</v>
      </c>
    </row>
    <row r="180" spans="1:7" ht="17" thickBot="1" x14ac:dyDescent="0.25">
      <c r="A180" s="4" t="s">
        <v>85</v>
      </c>
      <c r="B180" s="6">
        <v>0</v>
      </c>
      <c r="C180" s="6">
        <v>1.0019</v>
      </c>
      <c r="D180" s="6">
        <v>0.92779999999999996</v>
      </c>
      <c r="E180" s="6">
        <v>0.9002</v>
      </c>
      <c r="F180" s="6">
        <v>0.90049999999999997</v>
      </c>
      <c r="G180" s="5">
        <f t="shared" si="6"/>
        <v>0.74607999999999997</v>
      </c>
    </row>
    <row r="181" spans="1:7" ht="17" thickBot="1" x14ac:dyDescent="0.25">
      <c r="A181" s="7" t="s">
        <v>253</v>
      </c>
      <c r="B181" s="8">
        <v>0</v>
      </c>
      <c r="C181" s="8">
        <v>0</v>
      </c>
      <c r="D181" s="8">
        <v>0.85150000000000003</v>
      </c>
      <c r="E181" s="8">
        <v>0.82699999999999996</v>
      </c>
      <c r="F181" s="8">
        <v>0.92190000000000005</v>
      </c>
      <c r="G181" s="5">
        <f t="shared" si="6"/>
        <v>0.52007999999999999</v>
      </c>
    </row>
    <row r="182" spans="1:7" ht="33" thickBot="1" x14ac:dyDescent="0.25">
      <c r="A182" s="4" t="s">
        <v>254</v>
      </c>
      <c r="B182" s="6">
        <v>0</v>
      </c>
      <c r="C182" s="6">
        <v>0</v>
      </c>
      <c r="D182" s="6">
        <v>3.4247000000000001</v>
      </c>
      <c r="E182" s="6">
        <v>3.0489999999999999</v>
      </c>
      <c r="F182" s="6">
        <v>3.0726</v>
      </c>
      <c r="G182" s="5">
        <f t="shared" si="6"/>
        <v>1.9092600000000002</v>
      </c>
    </row>
    <row r="183" spans="1:7" ht="17" thickBot="1" x14ac:dyDescent="0.25">
      <c r="A183" s="7" t="s">
        <v>36</v>
      </c>
      <c r="B183" s="8">
        <v>0</v>
      </c>
      <c r="C183" s="8">
        <v>0.75509999999999999</v>
      </c>
      <c r="D183" s="8">
        <v>0.72199999999999998</v>
      </c>
      <c r="E183" s="8">
        <v>0.69199999999999995</v>
      </c>
      <c r="F183" s="8">
        <v>0.77559999999999996</v>
      </c>
      <c r="G183" s="5">
        <f t="shared" si="6"/>
        <v>0.58894000000000002</v>
      </c>
    </row>
  </sheetData>
  <autoFilter ref="A1:A183" xr:uid="{0E8CBD7D-8CD7-4148-9BD9-43B4BE681AD2}"/>
  <hyperlinks>
    <hyperlink ref="A2" r:id="rId1" display="https://www.macrotrends.net/global-metrics/countries/LUX/luxembourg/trade-gdp-ratio" xr:uid="{20B7BAFD-E21A-45AC-B2B2-495ADA2EB118}"/>
    <hyperlink ref="A3" r:id="rId2" display="https://www.macrotrends.net/global-metrics/countries/HKG/hong-kong/trade-gdp-ratio" xr:uid="{13FE2FC5-EF17-47D4-838C-BB0358D18C1D}"/>
    <hyperlink ref="A4" r:id="rId3" display="https://www.macrotrends.net/global-metrics/countries/DJI/djibouti/trade-gdp-ratio" xr:uid="{EF0BCD25-5BCE-4E87-ABD8-4407C6E2BA49}"/>
    <hyperlink ref="A5" r:id="rId4" display="https://www.macrotrends.net/global-metrics/countries/MLT/malta/trade-gdp-ratio" xr:uid="{A01D7032-C1E8-4EB0-BC01-3DD9D3D0BEF7}"/>
    <hyperlink ref="A6" r:id="rId5" display="https://www.macrotrends.net/global-metrics/countries/SGP/singapore/trade-gdp-ratio" xr:uid="{E487561C-587E-47A5-A74C-D4F530B20894}"/>
    <hyperlink ref="A7" r:id="rId6" display="https://www.macrotrends.net/global-metrics/countries/IRL/ireland/trade-gdp-ratio" xr:uid="{4021A85D-4942-4FE0-93FC-448755D34162}"/>
    <hyperlink ref="A8" r:id="rId7" display="https://www.macrotrends.net/global-metrics/countries/SYC/seychelles/trade-gdp-ratio" xr:uid="{5F522F38-F944-4BF8-A6B1-44134F5863ED}"/>
    <hyperlink ref="A9" r:id="rId8" display="https://www.macrotrends.net/global-metrics/countries/SVK/slovak-republic/trade-gdp-ratio" xr:uid="{47317F22-CD58-4246-9F67-E33AFFA32FA8}"/>
    <hyperlink ref="A10" r:id="rId9" display="https://www.macrotrends.net/global-metrics/countries/CYP/cyprus/trade-gdp-ratio" xr:uid="{8205E081-AE86-4B37-91EB-041D970401BA}"/>
    <hyperlink ref="A11" r:id="rId10" display="https://www.macrotrends.net/global-metrics/countries/BEL/belgium/trade-gdp-ratio" xr:uid="{B6F1822D-E455-40E3-98D4-29721CCCFF11}"/>
    <hyperlink ref="A12" r:id="rId11" display="https://www.macrotrends.net/global-metrics/countries/SVN/slovenia/trade-gdp-ratio" xr:uid="{319F5F51-4055-4C12-831C-59B7F55ADE46}"/>
    <hyperlink ref="A13" r:id="rId12" display="https://www.macrotrends.net/global-metrics/countries/MKD/north-macedonia/trade-gdp-ratio" xr:uid="{039C922A-73E6-4848-BC04-C5FEB1492814}"/>
    <hyperlink ref="A14" r:id="rId13" display="https://www.macrotrends.net/global-metrics/countries/NLD/netherlands/trade-gdp-ratio" xr:uid="{B1DB9987-BAC1-4448-A011-C89D692FADE4}"/>
    <hyperlink ref="A15" r:id="rId14" display="https://www.macrotrends.net/global-metrics/countries/HUN/hungary/trade-gdp-ratio" xr:uid="{FFEDB567-FB4B-4E1B-8AA3-E19647C1362A}"/>
    <hyperlink ref="A16" r:id="rId15" display="https://www.macrotrends.net/global-metrics/countries/EST/estonia/trade-gdp-ratio" xr:uid="{6A0650AB-0ABB-4E3B-A625-928775C223B5}"/>
    <hyperlink ref="A17" r:id="rId16" display="https://www.macrotrends.net/global-metrics/countries/LTU/lithuania/trade-gdp-ratio" xr:uid="{094D65D9-49CA-46BB-BCC8-AF65C577A9C2}"/>
    <hyperlink ref="A18" r:id="rId17" display="https://www.macrotrends.net/global-metrics/countries/MNG/mongolia/trade-gdp-ratio" xr:uid="{DF9403E0-C725-4C86-9CB8-877EEB2531BD}"/>
    <hyperlink ref="A19" r:id="rId18" display="https://www.macrotrends.net/global-metrics/countries/MAC/macao/trade-gdp-ratio" xr:uid="{B020DEA7-8C8C-4977-8961-A5573173A868}"/>
    <hyperlink ref="A20" r:id="rId19" display="https://www.macrotrends.net/global-metrics/countries/CZE/czech-republic/trade-gdp-ratio" xr:uid="{60B35CF9-86DF-4CE1-B651-4271B64FA18A}"/>
    <hyperlink ref="A21" r:id="rId20" display="https://www.macrotrends.net/global-metrics/countries/CHE/switzerland/trade-gdp-ratio" xr:uid="{99990C4C-487D-4768-BCB9-1E154DB916A1}"/>
    <hyperlink ref="A22" r:id="rId21" display="https://www.macrotrends.net/global-metrics/countries/BRN/brunei/trade-gdp-ratio" xr:uid="{D06BAF5B-E802-455F-9869-4D056D1B643B}"/>
    <hyperlink ref="A23" r:id="rId22" display="https://www.macrotrends.net/global-metrics/countries/BLR/belarus/trade-gdp-ratio" xr:uid="{580E105E-A402-459E-8247-A309EF434035}"/>
    <hyperlink ref="A24" r:id="rId23" display="https://www.macrotrends.net/global-metrics/countries/LVA/latvia/trade-gdp-ratio" xr:uid="{1E535F9A-55BF-4D42-BDB0-C07B00C9FFB8}"/>
    <hyperlink ref="A25" r:id="rId24" display="https://www.macrotrends.net/global-metrics/countries/MYS/malaysia/trade-gdp-ratio" xr:uid="{E6553EB3-CFE3-4111-9908-ADD32A29414D}"/>
    <hyperlink ref="A26" r:id="rId25" display="https://www.macrotrends.net/global-metrics/countries/THA/thailand/trade-gdp-ratio" xr:uid="{3CD15589-41D4-48FC-9299-5B5E270C7A15}"/>
    <hyperlink ref="A27" r:id="rId26" display="https://www.macrotrends.net/global-metrics/countries/DNK/denmark/trade-gdp-ratio" xr:uid="{AC65CCDC-35E2-40DC-B2DF-99D5528BBB27}"/>
    <hyperlink ref="A28" r:id="rId27" display="https://www.macrotrends.net/global-metrics/countries/SRB/serbia/trade-gdp-ratio" xr:uid="{51BD26F2-45F2-49DB-87B7-0C462E9BCF04}"/>
    <hyperlink ref="A29" r:id="rId28" display="https://www.macrotrends.net/global-metrics/countries/FJI/fiji/trade-gdp-ratio" xr:uid="{76CC30E1-7DE4-4632-A0F7-A53545F8523F}"/>
    <hyperlink ref="A30" r:id="rId29" display="https://www.macrotrends.net/global-metrics/countries/MNE/montenegro/trade-gdp-ratio" xr:uid="{06B5B1DA-8EDD-4A10-8061-A0CB8DECD21A}"/>
    <hyperlink ref="A31" r:id="rId30" display="https://www.macrotrends.net/global-metrics/countries/BGR/bulgaria/trade-gdp-ratio" xr:uid="{5B6E651F-6A40-4673-9354-A412B410E328}"/>
    <hyperlink ref="A32" r:id="rId31" display="https://www.macrotrends.net/global-metrics/countries/ARM/armenia/trade-gdp-ratio" xr:uid="{D119B8DA-F3AB-41DA-97C1-BD14300163DA}"/>
    <hyperlink ref="A33" r:id="rId32" display="https://www.macrotrends.net/global-metrics/countries/AUT/austria/trade-gdp-ratio" xr:uid="{4C795175-742B-4913-ADAF-10BC397AB088}"/>
    <hyperlink ref="A34" r:id="rId33" display="https://www.macrotrends.net/global-metrics/countries/KHM/cambodia/trade-gdp-ratio" xr:uid="{A27BA437-0F36-4636-9B3D-CAEB4AD04058}"/>
    <hyperlink ref="A35" r:id="rId34" display="https://www.macrotrends.net/global-metrics/countries/XKX/kosovo/trade-gdp-ratio" xr:uid="{D463764B-DB07-4E25-8506-93C7E8F63B93}"/>
    <hyperlink ref="A36" r:id="rId35" display="https://www.macrotrends.net/global-metrics/countries/LBY/libya/trade-gdp-ratio" xr:uid="{0446361F-D0F2-49E8-8843-B623E3E99DBF}"/>
    <hyperlink ref="A37" r:id="rId36" display="https://www.macrotrends.net/global-metrics/countries/HRV/croatia/trade-gdp-ratio" xr:uid="{F1C28314-301A-40DE-8B35-3354A7306366}"/>
    <hyperlink ref="A38" r:id="rId37" display="https://www.macrotrends.net/global-metrics/countries/NAM/namibia/trade-gdp-ratio" xr:uid="{E9C4DE29-0ABD-4F20-A853-D9E3C355EC15}"/>
    <hyperlink ref="A39" r:id="rId38" display="https://www.macrotrends.net/global-metrics/countries/POL/poland/trade-gdp-ratio" xr:uid="{FBBEF245-39E7-4B46-8DDF-9CBCF4408939}"/>
    <hyperlink ref="A40" r:id="rId39" display="https://www.macrotrends.net/global-metrics/countries/TUN/tunisia/trade-gdp-ratio" xr:uid="{3E17F4A6-31E3-44DC-9DE2-44A5EEB1E62D}"/>
    <hyperlink ref="A41" r:id="rId40" display="https://www.macrotrends.net/global-metrics/countries/MUS/mauritius/trade-gdp-ratio" xr:uid="{18E268D8-48BF-4288-B559-808A997A1EB5}"/>
    <hyperlink ref="A42" r:id="rId41" display="https://www.macrotrends.net/global-metrics/countries/SLE/sierra-leone/trade-gdp-ratio" xr:uid="{986CF28D-C771-4E07-9B83-58494DB658B1}"/>
    <hyperlink ref="A43" r:id="rId42" display="https://www.macrotrends.net/global-metrics/countries/BLZ/belize/trade-gdp-ratio" xr:uid="{4BCAB51F-DD58-4A2A-B071-3D6AF164B442}"/>
    <hyperlink ref="A44" r:id="rId43" display="https://www.macrotrends.net/global-metrics/countries/GEO/georgia/trade-gdp-ratio" xr:uid="{4DB0ED72-4C86-44D1-9E4F-C75BAD05A508}"/>
    <hyperlink ref="A45" r:id="rId44" display="https://www.macrotrends.net/global-metrics/countries/NIC/nicaragua/trade-gdp-ratio" xr:uid="{02C6AC82-F507-452D-A230-E8008E5F2652}"/>
    <hyperlink ref="A46" r:id="rId45" display="https://www.macrotrends.net/global-metrics/countries/SWE/sweden/trade-gdp-ratio" xr:uid="{BEA5DACD-B9FD-47C0-995E-8366B589DA31}"/>
    <hyperlink ref="A47" r:id="rId46" display="https://www.macrotrends.net/global-metrics/countries/PRI/puerto-rico/trade-gdp-ratio" xr:uid="{934FDA35-D9CE-436F-8537-FC15620312D5}"/>
    <hyperlink ref="A48" r:id="rId47" display="https://www.macrotrends.net/global-metrics/countries/BIH/bosnia/trade-gdp-ratio" xr:uid="{672AD553-6435-499A-91F0-E413054EECFA}"/>
    <hyperlink ref="A49" r:id="rId48" display="https://www.macrotrends.net/global-metrics/countries/KIR/kiribati/trade-gdp-ratio" xr:uid="{009434BD-AB3D-439B-8FFF-ACB12D56A91B}"/>
    <hyperlink ref="A50" r:id="rId49" display="https://www.macrotrends.net/global-metrics/countries/HND/honduras/trade-gdp-ratio" xr:uid="{4772CD3E-2D96-4180-A3BB-607899AB163B}"/>
    <hyperlink ref="A51" r:id="rId50" display="https://www.macrotrends.net/global-metrics/countries/MRT/mauritania/trade-gdp-ratio" xr:uid="{1883741D-D5BF-4504-BF6E-D492099AC0B3}"/>
    <hyperlink ref="A52" r:id="rId51" display="https://www.macrotrends.net/global-metrics/countries/COG/republic-of-congo/trade-gdp-ratio" xr:uid="{F4AEB23E-DDD4-496E-96C3-289962AD1ACC}"/>
    <hyperlink ref="A53" r:id="rId52" display="https://www.macrotrends.net/global-metrics/countries/MAR/morocco/trade-gdp-ratio" xr:uid="{D160465E-2AE7-4332-B3A9-0BD415963824}"/>
    <hyperlink ref="A54" r:id="rId53" display="https://www.macrotrends.net/global-metrics/countries/MDA/moldova/trade-gdp-ratio" xr:uid="{5C9F9C50-1C3D-4E36-8309-9E9E20CF2734}"/>
    <hyperlink ref="A55" r:id="rId54" display="https://www.macrotrends.net/global-metrics/countries/FSM/micronesia/trade-gdp-ratio" xr:uid="{3A066DEF-81E0-4E32-B984-79A54A93A513}"/>
    <hyperlink ref="A56" r:id="rId55" display="https://www.macrotrends.net/global-metrics/countries/GRC/greece/trade-gdp-ratio" xr:uid="{9A2D26D0-537F-4744-86FD-CD63E4021E7A}"/>
    <hyperlink ref="A57" r:id="rId56" display="https://www.macrotrends.net/global-metrics/countries/SOM/somalia/trade-gdp-ratio" xr:uid="{4AF517A9-355B-458E-AEF0-028FA2DEEFF6}"/>
    <hyperlink ref="A58" r:id="rId57" display="https://www.macrotrends.net/global-metrics/countries/PRT/portugal/trade-gdp-ratio" xr:uid="{9A6C5421-BE68-4045-BBFB-C553CF79EA2A}"/>
    <hyperlink ref="A59" r:id="rId58" display="https://www.macrotrends.net/global-metrics/countries/CPV/cabo-verde/trade-gdp-ratio" xr:uid="{02168B22-2EAB-4474-963C-255A04A4A968}"/>
    <hyperlink ref="A60" r:id="rId59" display="https://www.macrotrends.net/global-metrics/countries/TCD/chad/trade-gdp-ratio" xr:uid="{C38A9D1D-A007-4453-A583-16DE6E787B0E}"/>
    <hyperlink ref="A61" r:id="rId60" display="https://www.macrotrends.net/global-metrics/countries/COD/democratic-republic-of-congo/trade-gdp-ratio" xr:uid="{FCE62EE9-5653-40D2-A1E5-1778E380BDF2}"/>
    <hyperlink ref="A62" r:id="rId61" display="https://www.macrotrends.net/global-metrics/countries/WSM/samoa/trade-gdp-ratio" xr:uid="{79C1B1CD-F210-4B07-856B-9926C0B51C64}"/>
    <hyperlink ref="A63" r:id="rId62" display="https://www.macrotrends.net/global-metrics/countries/DEU/germany/trade-gdp-ratio" xr:uid="{2026ACB5-ED6B-413F-AEF7-CAEAA92127F8}"/>
    <hyperlink ref="A64" r:id="rId63" display="https://www.macrotrends.net/global-metrics/countries/KOR/south-korea/trade-gdp-ratio" xr:uid="{C19CEC3B-9B00-4DCF-9178-9FE37EC6A4A4}"/>
    <hyperlink ref="A65" r:id="rId64" display="https://www.macrotrends.net/global-metrics/countries/GNQ/equatorial-guinea/trade-gdp-ratio" xr:uid="{A33EEAF7-266E-4A48-9AFA-17B90C633D98}"/>
    <hyperlink ref="A66" r:id="rId65" display="https://www.macrotrends.net/global-metrics/countries/ISL/iceland/trade-gdp-ratio" xr:uid="{D8E5E94C-7C15-4D53-A0A0-CF4747F97653}"/>
    <hyperlink ref="A67" r:id="rId66" display="https://www.macrotrends.net/global-metrics/countries/PSE/west-bank-and-gaza/trade-gdp-ratio" xr:uid="{024F32C3-3113-4480-8573-5E1B2C43F70E}"/>
    <hyperlink ref="A68" r:id="rId67" display="https://www.macrotrends.net/global-metrics/countries/ALB/albania/trade-gdp-ratio" xr:uid="{ACF42BE5-A550-4DE8-A72F-6C0455452193}"/>
    <hyperlink ref="A69" r:id="rId68" display="https://www.macrotrends.net/global-metrics/countries/AZE/azerbaijan/trade-gdp-ratio" xr:uid="{880EFF26-1D9C-495E-820E-90A61B59A7B1}"/>
    <hyperlink ref="A70" r:id="rId69" display="https://www.macrotrends.net/global-metrics/countries/ROU/romania/trade-gdp-ratio" xr:uid="{FF2D16B9-771B-46F3-883C-ED249B871312}"/>
    <hyperlink ref="A71" r:id="rId70" display="https://www.macrotrends.net/global-metrics/countries/PRY/paraguay/trade-gdp-ratio" xr:uid="{AA47C733-1E1A-48BB-B705-C8A7A079B37E}"/>
    <hyperlink ref="A72" r:id="rId71" display="https://www.macrotrends.net/global-metrics/countries/BHS/bahamas/trade-gdp-ratio" xr:uid="{35652615-5174-4865-BD3B-080B98C603F3}"/>
    <hyperlink ref="A73" r:id="rId72" display="https://www.macrotrends.net/global-metrics/countries/FIN/finland/trade-gdp-ratio" xr:uid="{46911B33-4138-44C3-B1A7-A022381837B6}"/>
    <hyperlink ref="A74" r:id="rId73" display="https://www.macrotrends.net/global-metrics/countries/SLV/el-salvador/trade-gdp-ratio" xr:uid="{8EED391D-C650-4873-BA0B-6BB072F666A1}"/>
    <hyperlink ref="A75" r:id="rId74" display="https://www.macrotrends.net/global-metrics/countries/ZMB/zambia/trade-gdp-ratio" xr:uid="{6AF26F7B-E24E-4CFB-B8B2-294165472D99}"/>
    <hyperlink ref="A76" r:id="rId75" display="https://www.macrotrends.net/global-metrics/countries/NOR/norway/trade-gdp-ratio" xr:uid="{F29F8FAA-DDCF-4B21-A30E-D313D3EBB3AA}"/>
    <hyperlink ref="A77" r:id="rId76" display="https://www.macrotrends.net/global-metrics/countries/UKR/ukraine/trade-gdp-ratio" xr:uid="{E627F863-6CAB-45B5-B909-29DB9D848D33}"/>
    <hyperlink ref="A78" r:id="rId77" display="https://www.macrotrends.net/global-metrics/countries/GAB/gabon/trade-gdp-ratio" xr:uid="{A3B82124-0771-492C-8CAF-619CB863FF9E}"/>
    <hyperlink ref="A79" r:id="rId78" display="https://www.macrotrends.net/global-metrics/countries/MEX/mexico/trade-gdp-ratio" xr:uid="{C5FE2559-395D-404E-BF8D-9150ED6CCD73}"/>
    <hyperlink ref="A80" r:id="rId79" display="https://www.macrotrends.net/global-metrics/countries/ESP/spain/trade-gdp-ratio" xr:uid="{7B34A8AE-9DA9-4640-8B4F-756E0DDCD6E0}"/>
    <hyperlink ref="A81" r:id="rId80" display="https://www.macrotrends.net/global-metrics/countries/UZB/uzbekistan/trade-gdp-ratio" xr:uid="{22CBD747-92E5-440F-B1E0-EA8526BE48BA}"/>
    <hyperlink ref="A82" r:id="rId81" display="https://www.macrotrends.net/global-metrics/countries/MDG/madagascar/trade-gdp-ratio" xr:uid="{91ACDAE6-7094-4497-B8D0-37AF57AB9FF9}"/>
    <hyperlink ref="A83" r:id="rId82" display="https://www.macrotrends.net/global-metrics/countries/CRI/costa-rica/trade-gdp-ratio" xr:uid="{AB7FCC9C-ED19-4537-9E1D-41158EE5E824}"/>
    <hyperlink ref="A84" r:id="rId83" display="https://www.macrotrends.net/global-metrics/countries/SEN/senegal/trade-gdp-ratio" xr:uid="{0F6E8A6B-6DB4-48F9-B5E6-11723339B8AB}"/>
    <hyperlink ref="A85" r:id="rId84" display="https://www.macrotrends.net/global-metrics/countries/GHA/ghana/trade-gdp-ratio" xr:uid="{E1BBCC03-0BF4-47D9-9B80-5A501D9DE30A}"/>
    <hyperlink ref="A86" r:id="rId85" display="https://www.macrotrends.net/global-metrics/countries/GIN/guinea/trade-gdp-ratio" xr:uid="{946E9ADC-6198-4548-91BE-5CB3BCCA4A2B}"/>
    <hyperlink ref="A87" r:id="rId86" display="https://www.macrotrends.net/global-metrics/countries/ITA/italy/trade-gdp-ratio" xr:uid="{C97FD13F-9B6D-46B4-AA26-22CF6E7E94EE}"/>
    <hyperlink ref="A88" r:id="rId87" display="https://www.macrotrends.net/global-metrics/countries/FRA/france/trade-gdp-ratio" xr:uid="{EFA9DEC2-0895-488F-968A-D1DB3E249C16}"/>
    <hyperlink ref="A89" r:id="rId88" display="https://www.macrotrends.net/global-metrics/countries/CAN/canada/trade-gdp-ratio" xr:uid="{27D821D1-3A1E-4904-8F71-13110C2081C1}"/>
    <hyperlink ref="A90" r:id="rId89" display="https://www.macrotrends.net/global-metrics/countries/PHL/philippines/trade-gdp-ratio" xr:uid="{792AEC1D-F422-4F46-9C40-0342D309A108}"/>
    <hyperlink ref="A91" r:id="rId90" display="https://www.macrotrends.net/global-metrics/countries/BWA/botswana/trade-gdp-ratio" xr:uid="{87E80D2C-B613-4118-BFD3-813C59704735}"/>
    <hyperlink ref="A92" r:id="rId91" display="https://www.macrotrends.net/global-metrics/countries/TUR/turkey/trade-gdp-ratio" xr:uid="{40273409-F8A4-4CD7-BBAA-2663B8568E85}"/>
    <hyperlink ref="A93" r:id="rId92" display="https://www.macrotrends.net/global-metrics/countries/AGO/angola/trade-gdp-ratio" xr:uid="{B82EA152-06E6-40F0-9DC2-58010AC308AA}"/>
    <hyperlink ref="A94" r:id="rId93" display="https://www.macrotrends.net/global-metrics/countries/RWA/rwanda/trade-gdp-ratio" xr:uid="{480F1BAF-3ABE-4171-997F-265E2EE0C62A}"/>
    <hyperlink ref="A95" r:id="rId94" display="https://www.macrotrends.net/global-metrics/countries/MLI/mali/trade-gdp-ratio" xr:uid="{0B487970-E2EB-4BD1-B5F0-6F3ACB32B87B}"/>
    <hyperlink ref="A96" r:id="rId95" display="https://www.macrotrends.net/global-metrics/countries/ZAF/south-africa/trade-gdp-ratio" xr:uid="{354A6CA0-E81A-4657-A1C5-312DACD1AFD2}"/>
    <hyperlink ref="A97" r:id="rId96" display="https://www.macrotrends.net/global-metrics/countries/GBR/united-kingdom/trade-gdp-ratio" xr:uid="{B42E877C-7983-4F0A-81DF-44C8783D2CFB}"/>
    <hyperlink ref="A98" r:id="rId97" display="https://www.macrotrends.net/global-metrics/countries/BFA/burkina-faso/trade-gdp-ratio" xr:uid="{D0CC4018-9AE0-4EDD-B9CF-A41C99E116E0}"/>
    <hyperlink ref="A99" r:id="rId98" display="https://www.macrotrends.net/global-metrics/countries/SAU/saudi-arabia/trade-gdp-ratio" xr:uid="{80B77F88-F6EC-4ED5-A72D-56C3DA1C89A3}"/>
    <hyperlink ref="A100" r:id="rId99" display="https://www.macrotrends.net/global-metrics/countries/TGO/togo/trade-gdp-ratio" xr:uid="{6E74D478-E6E1-4847-9D71-3230984A14F9}"/>
    <hyperlink ref="A101" r:id="rId100" display="https://www.macrotrends.net/global-metrics/countries/CHL/chile/trade-gdp-ratio" xr:uid="{908A04C7-6FC0-49BD-8101-A598DA1275F9}"/>
    <hyperlink ref="A102" r:id="rId101" display="https://www.macrotrends.net/global-metrics/countries/BOL/bolivia/trade-gdp-ratio" xr:uid="{21313792-8B39-4B84-9DB1-6B5D8BF84827}"/>
    <hyperlink ref="A103" r:id="rId102" display="https://www.macrotrends.net/global-metrics/countries/ISR/israel/trade-gdp-ratio" xr:uid="{7FA75DDF-E60C-484E-9AA3-2A2112142E97}"/>
    <hyperlink ref="A104" r:id="rId103" display="https://www.macrotrends.net/global-metrics/countries/ECU/ecuador/trade-gdp-ratio" xr:uid="{7DCEB0B7-5F31-4281-96D2-848AA06E5821}"/>
    <hyperlink ref="A105" r:id="rId104" display="https://www.macrotrends.net/global-metrics/countries/IRN/iran/trade-gdp-ratio" xr:uid="{11489DD5-CEC0-43F6-B5C4-A3B907A03788}"/>
    <hyperlink ref="A106" r:id="rId105" display="https://www.macrotrends.net/global-metrics/countries/URY/uruguay/trade-gdp-ratio" xr:uid="{26A533D9-2EFD-4E12-8575-44A2B1C6732C}"/>
    <hyperlink ref="A107" r:id="rId106" display="https://www.macrotrends.net/global-metrics/countries/BEN/benin/trade-gdp-ratio" xr:uid="{7D25C293-6178-4331-9D4E-58193B2D3C27}"/>
    <hyperlink ref="A108" r:id="rId107" display="https://www.macrotrends.net/global-metrics/countries/PER/peru/trade-gdp-ratio" xr:uid="{95DBD839-44B5-49DC-962B-41253D488A1B}"/>
    <hyperlink ref="A109" r:id="rId108" display="https://www.macrotrends.net/global-metrics/countries/GTM/guatemala/trade-gdp-ratio" xr:uid="{0C76CF0E-8A22-4F06-8E33-E40F0A02DFD1}"/>
    <hyperlink ref="A110" r:id="rId109" display="https://www.macrotrends.net/global-metrics/countries/DOM/dominican-republic/trade-gdp-ratio" xr:uid="{8630D507-0FCD-4B39-A008-C70C93F96DE5}"/>
    <hyperlink ref="A111" r:id="rId110" display="https://www.macrotrends.net/global-metrics/countries/AUS/australia/trade-gdp-ratio" xr:uid="{2B50137E-A562-468C-A2B5-62B5C60CCCF3}"/>
    <hyperlink ref="A112" r:id="rId111" display="https://www.macrotrends.net/global-metrics/countries/COM/comoros/trade-gdp-ratio" xr:uid="{F5ACE5EE-7F40-47ED-9297-3EA5913804BD}"/>
    <hyperlink ref="A113" r:id="rId112" display="https://www.macrotrends.net/global-metrics/countries/DZA/algeria/trade-gdp-ratio" xr:uid="{917ABF98-6ACA-4405-8747-64C9257B368B}"/>
    <hyperlink ref="A114" r:id="rId113" display="https://www.macrotrends.net/global-metrics/countries/GNB/guinea-bissau/trade-gdp-ratio" xr:uid="{71AA28A4-0FC2-42FD-912F-443B8A080E58}"/>
    <hyperlink ref="A115" r:id="rId114" display="https://www.macrotrends.net/global-metrics/countries/IND/india/trade-gdp-ratio" xr:uid="{0DD67B16-A9A9-4182-8ACE-E623BA4C6026}"/>
    <hyperlink ref="A116" r:id="rId115" display="https://www.macrotrends.net/global-metrics/countries/CAF/central-african-republic/trade-gdp-ratio" xr:uid="{7801C985-59D7-419E-A153-8841093C158F}"/>
    <hyperlink ref="A117" r:id="rId116" display="https://www.macrotrends.net/global-metrics/countries/LKA/sri-lanka/trade-gdp-ratio" xr:uid="{ECB07B50-7215-468A-8B97-36797EA1F13E}"/>
    <hyperlink ref="A118" r:id="rId117" display="https://www.macrotrends.net/global-metrics/countries/RUS/russia/trade-gdp-ratio" xr:uid="{01B2CA67-F96A-4434-A4F6-9F11080E9612}"/>
    <hyperlink ref="A119" r:id="rId118" display="https://www.macrotrends.net/global-metrics/countries/NPL/nepal/trade-gdp-ratio" xr:uid="{865012BF-9784-42F6-9C32-9E41A1C9CDF7}"/>
    <hyperlink ref="A120" r:id="rId119" display="https://www.macrotrends.net/global-metrics/countries/IDN/indonesia/trade-gdp-ratio" xr:uid="{B329652B-F8E4-4954-809B-5F832FD6EC74}"/>
    <hyperlink ref="A121" r:id="rId120" display="https://www.macrotrends.net/global-metrics/countries/GMB/gambia/trade-gdp-ratio" xr:uid="{625CA655-AB89-4927-9D9F-55419317179A}"/>
    <hyperlink ref="A122" r:id="rId121" display="https://www.macrotrends.net/global-metrics/countries/COL/colombia/trade-gdp-ratio" xr:uid="{5D3FC865-C151-4808-8475-44614C16FE74}"/>
    <hyperlink ref="A123" r:id="rId122" display="https://www.macrotrends.net/global-metrics/countries/EGY/egypt/trade-gdp-ratio" xr:uid="{EC54EBCB-5303-4877-9C3D-59640A9FBDDD}"/>
    <hyperlink ref="A124" r:id="rId123" display="https://www.macrotrends.net/global-metrics/countries/CMR/cameroon/trade-gdp-ratio" xr:uid="{17BDCF79-4D47-407A-8A61-290AC33DDACE}"/>
    <hyperlink ref="A125" r:id="rId124" display="https://www.macrotrends.net/global-metrics/countries/TZA/tanzania/trade-gdp-ratio" xr:uid="{5993D1AB-BDD4-462D-829A-E21455AB1AD2}"/>
    <hyperlink ref="A126" r:id="rId125" display="https://www.macrotrends.net/global-metrics/countries/CHN/china/trade-gdp-ratio" xr:uid="{0F128B54-E442-443B-B538-9AA5338A3B94}"/>
    <hyperlink ref="A127" r:id="rId126" display="https://www.macrotrends.net/global-metrics/countries/UGA/uganda/trade-gdp-ratio" xr:uid="{9799DAB1-9F26-44D2-8A68-03446F55A2D5}"/>
    <hyperlink ref="A128" r:id="rId127" display="https://www.macrotrends.net/global-metrics/countries/TKM/turkmenistan/trade-gdp-ratio" xr:uid="{575FB565-18D3-4E7F-B9AA-CD25C36AA2A5}"/>
    <hyperlink ref="A129" r:id="rId128" display="https://www.macrotrends.net/global-metrics/countries/BRA/brazil/trade-gdp-ratio" xr:uid="{DCFBC9BA-BD14-42A3-99A3-92B7432C357C}"/>
    <hyperlink ref="A130" r:id="rId129" display="https://www.macrotrends.net/global-metrics/countries/KEN/kenya/trade-gdp-ratio" xr:uid="{2B5D1E4E-E363-4C85-BC3A-9DA1BC54B1BD}"/>
    <hyperlink ref="A131" r:id="rId130" display="https://www.macrotrends.net/global-metrics/countries/BGD/bangladesh/trade-gdp-ratio" xr:uid="{8003E8E5-7E33-47B2-976A-B0EB49648B75}"/>
    <hyperlink ref="A132" r:id="rId131" display="https://www.macrotrends.net/global-metrics/countries/HTI/haiti/trade-gdp-ratio" xr:uid="{080BC817-485F-4BD5-A276-6884E555BE85}"/>
    <hyperlink ref="A133" r:id="rId132" display="https://www.macrotrends.net/global-metrics/countries/NER/niger/trade-gdp-ratio" xr:uid="{CED94A77-E29E-45DA-9580-5BD1DAE6F789}"/>
    <hyperlink ref="A134" r:id="rId133" display="https://www.macrotrends.net/global-metrics/countries/BDI/burundi/trade-gdp-ratio" xr:uid="{78148720-8CB8-44F6-AD41-B940429648F7}"/>
    <hyperlink ref="A135" r:id="rId134" display="https://www.macrotrends.net/global-metrics/countries/PAK/pakistan/trade-gdp-ratio" xr:uid="{9DBD8109-854A-45B3-AC16-FF2E28F4FAAD}"/>
    <hyperlink ref="A136" r:id="rId135" display="https://www.macrotrends.net/global-metrics/countries/ARG/argentina/trade-gdp-ratio" xr:uid="{870FC717-D13B-48F1-8393-EC762142051D}"/>
    <hyperlink ref="A137" r:id="rId136" display="https://www.macrotrends.net/global-metrics/countries/ETH/ethiopia/trade-gdp-ratio" xr:uid="{114BAE3A-51CA-4120-8793-03D90747DD8E}"/>
    <hyperlink ref="A138" r:id="rId137" display="https://www.macrotrends.net/global-metrics/countries/SDN/sudan/trade-gdp-ratio" xr:uid="{0895916F-57AF-40DB-8E2D-7271A4394BE4}"/>
    <hyperlink ref="A139" r:id="rId138" display="https://www.macrotrends.net/global-metrics/countries/CYM/cayman-islands/trade-gdp-ratio" xr:uid="{6B6EDEE7-C0A8-4E03-8380-9D351C1CF207}"/>
    <hyperlink ref="A140" r:id="rId139" display="https://www.macrotrends.net/global-metrics/countries/PLW/palau/trade-gdp-ratio" xr:uid="{A842E328-EA57-419F-8F4C-6D363189E7C8}"/>
    <hyperlink ref="A141" r:id="rId140" display="https://www.macrotrends.net/global-metrics/countries/SYR/syrian-arab-republic/trade-gdp-ratio" xr:uid="{D7510B4F-9234-419A-B38B-650B6B25D799}"/>
    <hyperlink ref="A142" r:id="rId141" display="https://www.macrotrends.net/global-metrics/countries/KGZ/kyrgyz-republic/trade-gdp-ratio" xr:uid="{BC11328A-3659-4150-B9BE-3111649F7194}"/>
    <hyperlink ref="A143" r:id="rId142" display="https://www.macrotrends.net/global-metrics/countries/MNP/northern-mariana-islands/trade-gdp-ratio" xr:uid="{7EFFCA2B-C3B2-4AA0-9BB8-03E799043CAA}"/>
    <hyperlink ref="A144" r:id="rId143" display="https://www.macrotrends.net/global-metrics/countries/GUM/guam/trade-gdp-ratio" xr:uid="{C7675CD8-DC26-4A55-9338-5663B75DA048}"/>
    <hyperlink ref="A145" r:id="rId144" display="https://www.macrotrends.net/global-metrics/countries/VIR/virgin-islands-us/trade-gdp-ratio" xr:uid="{3FC17F1E-6C5A-4829-93E7-C7A7BD9BC923}"/>
    <hyperlink ref="A146" r:id="rId145" display="https://www.macrotrends.net/global-metrics/countries/MOZ/mozambique/trade-gdp-ratio" xr:uid="{D88E042B-F450-4C04-B407-A0B1F6046D94}"/>
    <hyperlink ref="A147" r:id="rId146" display="https://www.macrotrends.net/global-metrics/countries/ARE/uae/trade-gdp-ratio" xr:uid="{F0CE97D5-F3AD-4FF1-A646-349F0E4D0755}"/>
    <hyperlink ref="A148" r:id="rId147" display="https://www.macrotrends.net/global-metrics/countries/VNM/vietnam/trade-gdp-ratio" xr:uid="{F5DD8458-A2BE-4FD4-96FB-175AC2E7B6F0}"/>
    <hyperlink ref="A149" r:id="rId148" display="https://www.macrotrends.net/global-metrics/countries/IRQ/iraq/trade-gdp-ratio" xr:uid="{C50ADCDF-7FE6-4269-833E-F6A51D5ACDB1}"/>
    <hyperlink ref="A150" r:id="rId149" display="https://www.macrotrends.net/global-metrics/countries/BRB/barbados/trade-gdp-ratio" xr:uid="{819664BA-DEEB-4092-B2F5-65A7177D43AB}"/>
    <hyperlink ref="A151" r:id="rId150" display="https://www.macrotrends.net/global-metrics/countries/LSO/lesotho/trade-gdp-ratio" xr:uid="{7039A1EE-D923-4120-933B-E6F77A5D9C7D}"/>
    <hyperlink ref="A152" r:id="rId151" display="https://www.macrotrends.net/global-metrics/countries/VUT/vanuatu/trade-gdp-ratio" xr:uid="{0C578084-CA8D-41AC-A060-FF755B52BAF0}"/>
    <hyperlink ref="A153" r:id="rId152" display="https://www.macrotrends.net/global-metrics/countries/NRU/nauru/trade-gdp-ratio" xr:uid="{907856E8-0E11-44E7-8ED6-EE79F153478B}"/>
    <hyperlink ref="A154" r:id="rId153" display="https://www.macrotrends.net/global-metrics/countries/MHL/marshall-islands/trade-gdp-ratio" xr:uid="{B994F10A-E971-4DD7-9DC2-D264CCB982F5}"/>
    <hyperlink ref="A155" r:id="rId154" display="https://www.macrotrends.net/global-metrics/countries/BTN/bhutan/trade-gdp-ratio" xr:uid="{403166F3-9F55-42C3-AA96-BC749DC0DAEF}"/>
    <hyperlink ref="A156" r:id="rId155" display="https://www.macrotrends.net/global-metrics/countries/ASM/american-samoa/trade-gdp-ratio" xr:uid="{AD612C5A-4521-4625-BEA9-E646D9D61FD2}"/>
    <hyperlink ref="A157" r:id="rId156" display="https://www.macrotrends.net/global-metrics/countries/NZL/new-zealand/trade-gdp-ratio" xr:uid="{28EC327E-9E76-41F6-8AAD-6BBAEB416CF5}"/>
    <hyperlink ref="A158" r:id="rId157" display="https://www.macrotrends.net/global-metrics/countries/BHR/bahrain/trade-gdp-ratio" xr:uid="{A2A4E4A3-C591-4BE1-AD40-3E4B0245D3D7}"/>
    <hyperlink ref="A159" r:id="rId158" display="https://www.macrotrends.net/global-metrics/countries/TJK/tajikistan/trade-gdp-ratio" xr:uid="{71D16FD1-1A2D-4E1D-B9D2-0F400A479090}"/>
    <hyperlink ref="A160" r:id="rId159" display="https://www.macrotrends.net/global-metrics/countries/KWT/kuwait/trade-gdp-ratio" xr:uid="{EB0B19DE-2C00-4927-806B-2820058DAD09}"/>
    <hyperlink ref="A161" r:id="rId160" display="https://www.macrotrends.net/global-metrics/countries/ATG/antigua-and-barbuda/trade-gdp-ratio" xr:uid="{9D934A0C-D0BD-44BA-944C-4807097C506A}"/>
    <hyperlink ref="A162" r:id="rId161" display="https://www.macrotrends.net/global-metrics/countries/OMN/oman/trade-gdp-ratio" xr:uid="{AF26F22B-5357-4641-998B-55CBA17EE820}"/>
    <hyperlink ref="A163" r:id="rId162" display="https://www.macrotrends.net/global-metrics/countries/JAM/jamaica/trade-gdp-ratio" xr:uid="{482BA259-E5E6-4D88-B236-60527111355D}"/>
    <hyperlink ref="A164" r:id="rId163" display="https://www.macrotrends.net/global-metrics/countries/SLB/solomon-islands/trade-gdp-ratio" xr:uid="{8E2D0F44-32DA-4370-A9E2-59646AC68993}"/>
    <hyperlink ref="A165" r:id="rId164" display="https://www.macrotrends.net/global-metrics/countries/USA/united-states/trade-gdp-ratio" xr:uid="{B006E892-2895-485C-A02A-34E6A5A95A91}"/>
    <hyperlink ref="A166" r:id="rId165" display="https://www.macrotrends.net/global-metrics/countries/FRO/faroe-islands/trade-gdp-ratio" xr:uid="{FBD2C009-A022-4F10-8B09-5E8A1845AD83}"/>
    <hyperlink ref="A167" r:id="rId166" display="https://www.macrotrends.net/global-metrics/countries/JOR/jordan/trade-gdp-ratio" xr:uid="{8742E87B-146B-4D40-958A-1D27F29FE348}"/>
    <hyperlink ref="A168" r:id="rId167" display="https://www.macrotrends.net/global-metrics/countries/TLS/timor-leste/trade-gdp-ratio" xr:uid="{E293035A-F4D6-4C51-9F3C-3EE38390BA27}"/>
    <hyperlink ref="A169" r:id="rId168" display="https://www.macrotrends.net/global-metrics/countries/ABW/aruba/trade-gdp-ratio" xr:uid="{E39FADE4-06D4-48B7-B040-7F140CF4FBBC}"/>
    <hyperlink ref="A170" r:id="rId169" display="https://www.macrotrends.net/global-metrics/countries/LBN/lebanon/trade-gdp-ratio" xr:uid="{65105203-AA77-44C5-8450-20F5125BF264}"/>
    <hyperlink ref="A171" r:id="rId170" display="https://www.macrotrends.net/global-metrics/countries/PAN/panama/trade-gdp-ratio" xr:uid="{2EFA5DA2-4ABA-4B3A-9B1E-D594F329B2F6}"/>
    <hyperlink ref="A172" r:id="rId171" display="https://www.macrotrends.net/global-metrics/countries/SWZ/eswatini/trade-gdp-ratio" xr:uid="{0FC45FFD-467C-4780-9FB5-83D09E83F08D}"/>
    <hyperlink ref="A173" r:id="rId172" display="https://www.macrotrends.net/global-metrics/countries/JPN/japan/trade-gdp-ratio" xr:uid="{CBB0223F-B19A-4EE6-968A-AAA49436281B}"/>
    <hyperlink ref="A174" r:id="rId173" display="https://www.macrotrends.net/global-metrics/countries/PYF/french-polynesia/trade-gdp-ratio" xr:uid="{8EB902A8-E0F8-4207-816C-9C33F646689C}"/>
    <hyperlink ref="A175" r:id="rId174" display="https://www.macrotrends.net/global-metrics/countries/TON/tonga/trade-gdp-ratio" xr:uid="{18FC7B7B-16E4-41A0-BC2C-1CF81FD84341}"/>
    <hyperlink ref="A176" r:id="rId175" display="https://www.macrotrends.net/global-metrics/countries/AFG/afghanistan/trade-gdp-ratio" xr:uid="{A6265B2B-26A8-484C-8C3A-BBA9BC445B2C}"/>
    <hyperlink ref="A177" r:id="rId176" display="https://www.macrotrends.net/global-metrics/countries/CUB/cuba/trade-gdp-ratio" xr:uid="{646A2328-457C-4602-9CAC-CBC30B907CE2}"/>
    <hyperlink ref="A178" r:id="rId177" display="https://www.macrotrends.net/global-metrics/countries/ZWE/zimbabwe/trade-gdp-ratio" xr:uid="{3A150F7D-3DDE-44AC-9206-C56E9DCFAC41}"/>
    <hyperlink ref="A179" r:id="rId178" display="https://www.macrotrends.net/global-metrics/countries/KAZ/kazakhstan/trade-gdp-ratio" xr:uid="{245BA00A-9D38-46E0-A529-D4C653CDF518}"/>
    <hyperlink ref="A180" r:id="rId179" display="https://www.macrotrends.net/global-metrics/countries/QAT/qatar/trade-gdp-ratio" xr:uid="{EA96FD55-C821-4D92-985A-77A38C2E4CD0}"/>
    <hyperlink ref="A181" r:id="rId180" display="https://www.macrotrends.net/global-metrics/countries/GRL/greenland/trade-gdp-ratio" xr:uid="{35B21820-B467-4738-92F0-424D10AD099C}"/>
    <hyperlink ref="A182" r:id="rId181" display="https://www.macrotrends.net/global-metrics/countries/SMR/san-marino/trade-gdp-ratio" xr:uid="{A6DA2791-F79F-4B7C-83CE-5BF948161E92}"/>
    <hyperlink ref="A183" r:id="rId182" display="https://www.macrotrends.net/global-metrics/countries/BMU/bermuda/trade-gdp-ratio" xr:uid="{9B15812A-B288-4E2F-87C5-E192BCA264E4}"/>
  </hyperlinks>
  <pageMargins left="0.7" right="0.7" top="0.75" bottom="0.75" header="0.3" footer="0.3"/>
  <pageSetup orientation="portrait" r:id="rId18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97D178-D588-4E83-8AA7-E9965FBEDC30}">
  <dimension ref="A1:K68"/>
  <sheetViews>
    <sheetView workbookViewId="0">
      <selection activeCell="F16" sqref="F16"/>
    </sheetView>
  </sheetViews>
  <sheetFormatPr baseColWidth="10" defaultColWidth="8.83203125" defaultRowHeight="15" x14ac:dyDescent="0.2"/>
  <cols>
    <col min="2" max="2" width="9.1640625" bestFit="1" customWidth="1"/>
    <col min="6" max="11" width="14.6640625" customWidth="1"/>
  </cols>
  <sheetData>
    <row r="1" spans="1:11" x14ac:dyDescent="0.2">
      <c r="F1" t="s">
        <v>255</v>
      </c>
      <c r="G1" t="s">
        <v>104</v>
      </c>
      <c r="H1" t="s">
        <v>105</v>
      </c>
      <c r="I1" t="s">
        <v>256</v>
      </c>
      <c r="J1" t="s">
        <v>107</v>
      </c>
      <c r="K1" t="s">
        <v>108</v>
      </c>
    </row>
    <row r="2" spans="1:11" x14ac:dyDescent="0.2">
      <c r="F2">
        <f>_xlfn.PERCENTILE.INC(B9:B68, 0)</f>
        <v>3.5000000000000004</v>
      </c>
      <c r="G2">
        <f>_xlfn.PERCENTILE.INC(B9:B68, 0.2)</f>
        <v>40.894400000000005</v>
      </c>
      <c r="H2">
        <f>_xlfn.PERCENTILE.INC(B9:B68, 0.4)</f>
        <v>54.298545178435845</v>
      </c>
      <c r="I2">
        <f>_xlfn.PERCENTILE.INC(B9:B68, 0.6)</f>
        <v>69.223590792838863</v>
      </c>
      <c r="J2">
        <f>_xlfn.PERCENTILE.INC(B9:B68, 0.8)</f>
        <v>95.854000000000028</v>
      </c>
      <c r="K2">
        <f>_xlfn.PERCENTILE.INC(B9:B68, 1)</f>
        <v>172.18</v>
      </c>
    </row>
    <row r="5" spans="1:11" x14ac:dyDescent="0.2">
      <c r="E5" t="s">
        <v>257</v>
      </c>
      <c r="F5" t="s">
        <v>258</v>
      </c>
      <c r="G5" t="s">
        <v>259</v>
      </c>
      <c r="H5" t="s">
        <v>260</v>
      </c>
      <c r="I5" t="s">
        <v>261</v>
      </c>
      <c r="J5" t="s">
        <v>262</v>
      </c>
    </row>
    <row r="6" spans="1:11" x14ac:dyDescent="0.2">
      <c r="F6">
        <v>1</v>
      </c>
      <c r="G6">
        <v>2</v>
      </c>
      <c r="H6">
        <v>3</v>
      </c>
      <c r="I6">
        <v>4</v>
      </c>
      <c r="J6">
        <v>5</v>
      </c>
    </row>
    <row r="8" spans="1:11" x14ac:dyDescent="0.2">
      <c r="A8" s="2" t="s">
        <v>25</v>
      </c>
      <c r="B8" s="45" t="s">
        <v>27</v>
      </c>
      <c r="C8" s="45"/>
    </row>
    <row r="9" spans="1:11" x14ac:dyDescent="0.2">
      <c r="A9" t="s">
        <v>31</v>
      </c>
      <c r="B9" s="30">
        <f>((21.3+226)/311)*100</f>
        <v>79.517684887459808</v>
      </c>
      <c r="C9">
        <v>4</v>
      </c>
    </row>
    <row r="10" spans="1:11" x14ac:dyDescent="0.2">
      <c r="A10" t="s">
        <v>32</v>
      </c>
      <c r="B10">
        <v>113.97</v>
      </c>
      <c r="C10">
        <v>5</v>
      </c>
    </row>
    <row r="11" spans="1:11" x14ac:dyDescent="0.2">
      <c r="A11" t="s">
        <v>33</v>
      </c>
      <c r="B11">
        <v>73.86</v>
      </c>
      <c r="C11">
        <v>4</v>
      </c>
    </row>
    <row r="12" spans="1:11" x14ac:dyDescent="0.2">
      <c r="A12" t="s">
        <v>34</v>
      </c>
      <c r="B12">
        <v>58.31</v>
      </c>
      <c r="C12">
        <v>3</v>
      </c>
    </row>
    <row r="13" spans="1:11" x14ac:dyDescent="0.2">
      <c r="A13" t="s">
        <v>35</v>
      </c>
      <c r="B13">
        <v>99.48</v>
      </c>
      <c r="C13">
        <v>5</v>
      </c>
    </row>
    <row r="14" spans="1:11" x14ac:dyDescent="0.2">
      <c r="A14" t="s">
        <v>36</v>
      </c>
      <c r="B14">
        <v>58.89</v>
      </c>
      <c r="C14">
        <v>3</v>
      </c>
    </row>
    <row r="15" spans="1:11" x14ac:dyDescent="0.2">
      <c r="A15" t="s">
        <v>37</v>
      </c>
      <c r="B15" s="30">
        <f>((281+857)/1028)*100</f>
        <v>110.70038910505838</v>
      </c>
      <c r="C15">
        <v>5</v>
      </c>
    </row>
    <row r="16" spans="1:11" x14ac:dyDescent="0.2">
      <c r="A16" t="s">
        <v>38</v>
      </c>
      <c r="B16">
        <v>44.06</v>
      </c>
      <c r="C16">
        <v>2</v>
      </c>
    </row>
    <row r="17" spans="1:3" x14ac:dyDescent="0.2">
      <c r="A17" t="s">
        <v>39</v>
      </c>
      <c r="B17">
        <v>69.33</v>
      </c>
      <c r="C17">
        <v>3</v>
      </c>
    </row>
    <row r="18" spans="1:3" x14ac:dyDescent="0.2">
      <c r="A18" t="s">
        <v>40</v>
      </c>
      <c r="B18">
        <v>41.46</v>
      </c>
      <c r="C18">
        <v>1</v>
      </c>
    </row>
    <row r="19" spans="1:3" x14ac:dyDescent="0.2">
      <c r="A19" t="s">
        <v>41</v>
      </c>
      <c r="B19" s="30">
        <f>((370+1210)/3281)*100</f>
        <v>48.156049984760749</v>
      </c>
      <c r="C19">
        <v>2</v>
      </c>
    </row>
    <row r="20" spans="1:3" x14ac:dyDescent="0.2">
      <c r="A20" t="s">
        <v>42</v>
      </c>
      <c r="B20" s="30">
        <f>((47.6+458)/654)*100</f>
        <v>77.308868501529062</v>
      </c>
      <c r="C20">
        <v>4</v>
      </c>
    </row>
    <row r="21" spans="1:3" x14ac:dyDescent="0.2">
      <c r="A21" t="s">
        <v>43</v>
      </c>
      <c r="B21">
        <v>50.38</v>
      </c>
      <c r="C21">
        <v>2</v>
      </c>
    </row>
    <row r="22" spans="1:3" x14ac:dyDescent="0.2">
      <c r="A22" t="s">
        <v>44</v>
      </c>
      <c r="B22">
        <f>0.7868*100</f>
        <v>78.680000000000007</v>
      </c>
      <c r="C22">
        <v>4</v>
      </c>
    </row>
    <row r="23" spans="1:3" x14ac:dyDescent="0.2">
      <c r="A23" t="s">
        <v>45</v>
      </c>
      <c r="B23" s="30">
        <f>((58.3+652)/1317)*100</f>
        <v>53.933181473044797</v>
      </c>
      <c r="C23">
        <v>2</v>
      </c>
    </row>
    <row r="24" spans="1:3" x14ac:dyDescent="0.2">
      <c r="A24" t="s">
        <v>46</v>
      </c>
      <c r="B24">
        <f>100*0.4819</f>
        <v>48.19</v>
      </c>
      <c r="C24">
        <v>2</v>
      </c>
    </row>
    <row r="25" spans="1:3" x14ac:dyDescent="0.2">
      <c r="A25" t="s">
        <v>47</v>
      </c>
      <c r="B25">
        <f>100*0.367</f>
        <v>36.700000000000003</v>
      </c>
      <c r="C25">
        <v>1</v>
      </c>
    </row>
    <row r="26" spans="1:3" x14ac:dyDescent="0.2">
      <c r="A26" t="s">
        <v>48</v>
      </c>
      <c r="B26">
        <f>100*1.003</f>
        <v>100.29999999999998</v>
      </c>
      <c r="C26">
        <v>5</v>
      </c>
    </row>
    <row r="27" spans="1:3" x14ac:dyDescent="0.2">
      <c r="A27" t="s">
        <v>49</v>
      </c>
      <c r="B27">
        <f>100*0.1802</f>
        <v>18.02</v>
      </c>
      <c r="C27">
        <v>1</v>
      </c>
    </row>
    <row r="28" spans="1:3" x14ac:dyDescent="0.2">
      <c r="A28" t="s">
        <v>50</v>
      </c>
      <c r="B28" s="30">
        <f>((11700+7130)/27370)*100</f>
        <v>68.797953964194363</v>
      </c>
      <c r="C28">
        <v>3</v>
      </c>
    </row>
    <row r="29" spans="1:3" x14ac:dyDescent="0.2">
      <c r="A29" t="s">
        <v>51</v>
      </c>
      <c r="B29">
        <v>20.329999999999998</v>
      </c>
      <c r="C29">
        <v>1</v>
      </c>
    </row>
    <row r="30" spans="1:3" x14ac:dyDescent="0.2">
      <c r="A30" t="s">
        <v>52</v>
      </c>
      <c r="B30" s="31">
        <v>30.876000000000001</v>
      </c>
      <c r="C30">
        <v>1</v>
      </c>
    </row>
    <row r="31" spans="1:3" x14ac:dyDescent="0.2">
      <c r="A31" t="s">
        <v>53</v>
      </c>
      <c r="B31" s="31">
        <f>100*0.57506</f>
        <v>57.506</v>
      </c>
      <c r="C31">
        <v>3</v>
      </c>
    </row>
    <row r="32" spans="1:3" x14ac:dyDescent="0.2">
      <c r="A32" t="s">
        <v>54</v>
      </c>
      <c r="B32" s="31">
        <f>100*0.34304</f>
        <v>34.304000000000002</v>
      </c>
      <c r="C32">
        <v>1</v>
      </c>
    </row>
    <row r="33" spans="1:3" x14ac:dyDescent="0.2">
      <c r="A33" t="s">
        <v>55</v>
      </c>
      <c r="B33" s="31">
        <f>100*0.63318</f>
        <v>63.317999999999998</v>
      </c>
      <c r="C33">
        <v>3</v>
      </c>
    </row>
    <row r="34" spans="1:3" x14ac:dyDescent="0.2">
      <c r="A34" t="s">
        <v>56</v>
      </c>
      <c r="B34" s="31">
        <f>100*0.40046</f>
        <v>40.045999999999999</v>
      </c>
      <c r="C34">
        <v>1</v>
      </c>
    </row>
    <row r="35" spans="1:3" x14ac:dyDescent="0.2">
      <c r="A35" t="s">
        <v>57</v>
      </c>
      <c r="B35" s="31">
        <f>100*0.52938</f>
        <v>52.937999999999995</v>
      </c>
      <c r="C35">
        <v>2</v>
      </c>
    </row>
    <row r="36" spans="1:3" x14ac:dyDescent="0.2">
      <c r="A36" t="s">
        <v>58</v>
      </c>
      <c r="B36" s="31">
        <f>100*0.5576</f>
        <v>55.76</v>
      </c>
      <c r="C36">
        <v>2</v>
      </c>
    </row>
    <row r="37" spans="1:3" x14ac:dyDescent="0.2">
      <c r="A37" t="s">
        <v>59</v>
      </c>
      <c r="B37" s="31">
        <f>100*0.80026</f>
        <v>80.025999999999996</v>
      </c>
      <c r="C37">
        <v>4</v>
      </c>
    </row>
    <row r="38" spans="1:3" x14ac:dyDescent="0.2">
      <c r="A38" t="s">
        <v>60</v>
      </c>
      <c r="B38" s="31">
        <f>100*0.988</f>
        <v>98.8</v>
      </c>
      <c r="C38">
        <v>4</v>
      </c>
    </row>
    <row r="39" spans="1:3" x14ac:dyDescent="0.2">
      <c r="A39" t="s">
        <v>61</v>
      </c>
      <c r="B39" s="31">
        <f>100*1.01972</f>
        <v>101.97199999999999</v>
      </c>
      <c r="C39">
        <v>5</v>
      </c>
    </row>
    <row r="40" spans="1:3" x14ac:dyDescent="0.2">
      <c r="A40" t="s">
        <v>62</v>
      </c>
      <c r="B40" s="31">
        <f>100*0.64518</f>
        <v>64.518000000000001</v>
      </c>
      <c r="C40">
        <v>3</v>
      </c>
    </row>
    <row r="41" spans="1:3" x14ac:dyDescent="0.2">
      <c r="A41" t="s">
        <v>63</v>
      </c>
      <c r="B41" s="31">
        <f>100*0.7209</f>
        <v>72.09</v>
      </c>
      <c r="C41">
        <v>4</v>
      </c>
    </row>
    <row r="42" spans="1:3" x14ac:dyDescent="0.2">
      <c r="A42" t="s">
        <v>64</v>
      </c>
      <c r="B42" s="31">
        <f>100*0.50924</f>
        <v>50.923999999999999</v>
      </c>
      <c r="C42">
        <v>2</v>
      </c>
    </row>
    <row r="43" spans="1:3" x14ac:dyDescent="0.2">
      <c r="A43" t="s">
        <v>65</v>
      </c>
      <c r="B43" s="31">
        <f>100*0.5249</f>
        <v>52.49</v>
      </c>
      <c r="C43">
        <v>2</v>
      </c>
    </row>
    <row r="44" spans="1:3" ht="16" x14ac:dyDescent="0.2">
      <c r="A44" t="s">
        <v>66</v>
      </c>
      <c r="B44" s="31" t="s">
        <v>263</v>
      </c>
      <c r="C44" t="s">
        <v>263</v>
      </c>
    </row>
    <row r="45" spans="1:3" x14ac:dyDescent="0.2">
      <c r="A45" t="s">
        <v>67</v>
      </c>
      <c r="B45" s="31">
        <f>100*0.035</f>
        <v>3.5000000000000004</v>
      </c>
      <c r="C45">
        <v>1</v>
      </c>
    </row>
    <row r="46" spans="1:3" x14ac:dyDescent="0.2">
      <c r="A46" t="s">
        <v>68</v>
      </c>
      <c r="B46" s="32">
        <f>100*0.321</f>
        <v>32.1</v>
      </c>
      <c r="C46">
        <v>1</v>
      </c>
    </row>
    <row r="47" spans="1:3" x14ac:dyDescent="0.2">
      <c r="A47" t="s">
        <v>69</v>
      </c>
      <c r="B47" s="31">
        <f>100*0.1105</f>
        <v>11.05</v>
      </c>
      <c r="C47">
        <v>1</v>
      </c>
    </row>
    <row r="48" spans="1:3" x14ac:dyDescent="0.2">
      <c r="A48" t="s">
        <v>70</v>
      </c>
      <c r="B48" s="31">
        <v>18.25</v>
      </c>
      <c r="C48">
        <v>1</v>
      </c>
    </row>
    <row r="49" spans="1:3" x14ac:dyDescent="0.2">
      <c r="A49" t="s">
        <v>71</v>
      </c>
      <c r="B49" s="31">
        <f>100*0.52694</f>
        <v>52.693999999999996</v>
      </c>
      <c r="C49">
        <v>2</v>
      </c>
    </row>
    <row r="50" spans="1:3" x14ac:dyDescent="0.2">
      <c r="A50" t="s">
        <v>72</v>
      </c>
      <c r="B50">
        <v>172.18</v>
      </c>
      <c r="C50">
        <v>5</v>
      </c>
    </row>
    <row r="51" spans="1:3" x14ac:dyDescent="0.2">
      <c r="A51" t="s">
        <v>73</v>
      </c>
      <c r="B51">
        <v>122.55</v>
      </c>
      <c r="C51">
        <v>5</v>
      </c>
    </row>
    <row r="52" spans="1:3" x14ac:dyDescent="0.2">
      <c r="A52" t="s">
        <v>74</v>
      </c>
      <c r="B52">
        <v>36.72</v>
      </c>
      <c r="C52">
        <v>1</v>
      </c>
    </row>
    <row r="53" spans="1:3" x14ac:dyDescent="0.2">
      <c r="A53" t="s">
        <v>75</v>
      </c>
      <c r="B53">
        <v>116.41</v>
      </c>
      <c r="C53">
        <v>5</v>
      </c>
    </row>
    <row r="54" spans="1:3" x14ac:dyDescent="0.2">
      <c r="A54" t="s">
        <v>76</v>
      </c>
      <c r="B54">
        <v>81.12</v>
      </c>
      <c r="C54">
        <v>4</v>
      </c>
    </row>
    <row r="55" spans="1:3" x14ac:dyDescent="0.2">
      <c r="A55" t="s">
        <v>77</v>
      </c>
      <c r="B55">
        <v>64.739999999999995</v>
      </c>
      <c r="C55">
        <v>3</v>
      </c>
    </row>
    <row r="56" spans="1:3" x14ac:dyDescent="0.2">
      <c r="A56" t="s">
        <v>78</v>
      </c>
      <c r="B56">
        <v>89.72</v>
      </c>
      <c r="C56">
        <v>4</v>
      </c>
    </row>
    <row r="57" spans="1:3" x14ac:dyDescent="0.2">
      <c r="A57" t="s">
        <v>79</v>
      </c>
      <c r="B57">
        <v>43.78</v>
      </c>
      <c r="C57">
        <v>2</v>
      </c>
    </row>
    <row r="58" spans="1:3" x14ac:dyDescent="0.2">
      <c r="A58" t="s">
        <v>80</v>
      </c>
      <c r="B58">
        <v>39.520000000000003</v>
      </c>
      <c r="C58">
        <v>1</v>
      </c>
    </row>
    <row r="59" spans="1:3" x14ac:dyDescent="0.2">
      <c r="A59" t="s">
        <v>81</v>
      </c>
      <c r="B59">
        <v>56.18</v>
      </c>
      <c r="C59">
        <v>3</v>
      </c>
    </row>
    <row r="60" spans="1:3" x14ac:dyDescent="0.2">
      <c r="A60" t="s">
        <v>82</v>
      </c>
      <c r="B60">
        <v>64.12</v>
      </c>
      <c r="C60">
        <v>3</v>
      </c>
    </row>
    <row r="61" spans="1:3" x14ac:dyDescent="0.2">
      <c r="A61" t="s">
        <v>83</v>
      </c>
      <c r="B61">
        <v>81.89</v>
      </c>
      <c r="C61">
        <v>4</v>
      </c>
    </row>
    <row r="62" spans="1:3" x14ac:dyDescent="0.2">
      <c r="A62" t="s">
        <v>84</v>
      </c>
      <c r="B62">
        <v>158.84</v>
      </c>
      <c r="C62">
        <v>5</v>
      </c>
    </row>
    <row r="63" spans="1:3" x14ac:dyDescent="0.2">
      <c r="A63" t="s">
        <v>85</v>
      </c>
      <c r="B63">
        <v>74.61</v>
      </c>
      <c r="C63">
        <v>4</v>
      </c>
    </row>
    <row r="64" spans="1:3" x14ac:dyDescent="0.2">
      <c r="A64" t="s">
        <v>86</v>
      </c>
      <c r="B64">
        <v>93.89</v>
      </c>
      <c r="C64">
        <v>4</v>
      </c>
    </row>
    <row r="65" spans="1:3" x14ac:dyDescent="0.2">
      <c r="A65" t="s">
        <v>87</v>
      </c>
      <c r="B65">
        <v>130.91</v>
      </c>
      <c r="C65">
        <v>5</v>
      </c>
    </row>
    <row r="66" spans="1:3" x14ac:dyDescent="0.2">
      <c r="A66" t="s">
        <v>88</v>
      </c>
      <c r="B66" s="19">
        <f>(21.9+482)/1042 * 100</f>
        <v>48.358925143953932</v>
      </c>
      <c r="C66">
        <v>2</v>
      </c>
    </row>
    <row r="67" spans="1:3" x14ac:dyDescent="0.2">
      <c r="A67" t="s">
        <v>89</v>
      </c>
      <c r="B67">
        <f>(357+385)/ 514.1 * 100</f>
        <v>144.32989690721649</v>
      </c>
      <c r="C67">
        <v>5</v>
      </c>
    </row>
    <row r="68" spans="1:3" x14ac:dyDescent="0.2">
      <c r="A68" t="s">
        <v>90</v>
      </c>
      <c r="B68">
        <v>63.58</v>
      </c>
      <c r="C68">
        <v>2</v>
      </c>
    </row>
  </sheetData>
  <mergeCells count="1">
    <mergeCell ref="B8:C8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C715FE-BA8C-420A-93F9-34A419716E52}">
  <dimension ref="A1:N180"/>
  <sheetViews>
    <sheetView zoomScale="76" zoomScaleNormal="115" workbookViewId="0">
      <selection activeCell="K14" sqref="K14"/>
    </sheetView>
  </sheetViews>
  <sheetFormatPr baseColWidth="10" defaultColWidth="8.83203125" defaultRowHeight="15" x14ac:dyDescent="0.2"/>
  <cols>
    <col min="9" max="9" width="20.6640625" customWidth="1"/>
    <col min="10" max="14" width="14.1640625" customWidth="1"/>
  </cols>
  <sheetData>
    <row r="1" spans="1:14" ht="30" thickBot="1" x14ac:dyDescent="0.25">
      <c r="A1" s="9" t="s">
        <v>102</v>
      </c>
      <c r="B1" s="10">
        <v>2021</v>
      </c>
      <c r="C1" s="10">
        <v>2020</v>
      </c>
      <c r="D1" s="10">
        <v>2019</v>
      </c>
      <c r="E1" s="10">
        <v>2018</v>
      </c>
      <c r="F1" s="10">
        <v>2017</v>
      </c>
      <c r="G1" t="s">
        <v>264</v>
      </c>
      <c r="J1" t="s">
        <v>104</v>
      </c>
      <c r="K1" t="s">
        <v>265</v>
      </c>
      <c r="L1" t="s">
        <v>106</v>
      </c>
      <c r="M1" t="s">
        <v>107</v>
      </c>
      <c r="N1" t="s">
        <v>266</v>
      </c>
    </row>
    <row r="2" spans="1:14" ht="17" thickBot="1" x14ac:dyDescent="0.25">
      <c r="A2" s="4" t="s">
        <v>36</v>
      </c>
      <c r="B2" s="6">
        <v>0.2384</v>
      </c>
      <c r="C2" s="6">
        <v>0.2407</v>
      </c>
      <c r="D2" s="6">
        <v>1.0317000000000001</v>
      </c>
      <c r="E2" s="6">
        <v>0.27589999999999998</v>
      </c>
      <c r="F2" s="6">
        <v>0.20849999999999999</v>
      </c>
      <c r="G2" s="13">
        <f>AVERAGE(B2:F2)</f>
        <v>0.39904000000000001</v>
      </c>
      <c r="J2">
        <f>_xlfn.PERCENTILE.INC(G2:G180,0.2)</f>
        <v>1.6999999999999998E-2</v>
      </c>
      <c r="K2">
        <f>_xlfn.PERCENTILE.INC(G2:G180,0.4)</f>
        <v>2.0332000000000006E-2</v>
      </c>
      <c r="L2">
        <f>_xlfn.PERCENTILE.INC(G2:G180,0.6)</f>
        <v>3.8367999999999999E-2</v>
      </c>
      <c r="M2">
        <f>_xlfn.PERCENTILE.INC(G2:G180,0.8)</f>
        <v>6.8052000000000001E-2</v>
      </c>
      <c r="N2">
        <f>_xlfn.PERCENTILE.INC(G2:G180,1)</f>
        <v>0.40361999999999998</v>
      </c>
    </row>
    <row r="3" spans="1:14" ht="33" thickBot="1" x14ac:dyDescent="0.25">
      <c r="A3" s="7" t="s">
        <v>38</v>
      </c>
      <c r="B3" s="8">
        <v>0.2039</v>
      </c>
      <c r="C3" s="8">
        <v>0</v>
      </c>
      <c r="D3" s="8">
        <v>0</v>
      </c>
      <c r="E3" s="8">
        <v>0</v>
      </c>
      <c r="F3" s="8">
        <v>0</v>
      </c>
      <c r="G3" s="13">
        <f t="shared" ref="G3:G66" si="0">AVERAGE(B3:F3)</f>
        <v>4.0779999999999997E-2</v>
      </c>
      <c r="I3" t="s">
        <v>24</v>
      </c>
      <c r="J3" s="14">
        <f>J2*100</f>
        <v>1.6999999999999997</v>
      </c>
      <c r="K3" s="14">
        <f t="shared" ref="K3:N3" si="1">K2*100</f>
        <v>2.0332000000000008</v>
      </c>
      <c r="L3" s="14">
        <f t="shared" si="1"/>
        <v>3.8367999999999998</v>
      </c>
      <c r="M3" s="14">
        <f t="shared" si="1"/>
        <v>6.8052000000000001</v>
      </c>
      <c r="N3" s="14">
        <f t="shared" si="1"/>
        <v>40.361999999999995</v>
      </c>
    </row>
    <row r="4" spans="1:14" ht="17" thickBot="1" x14ac:dyDescent="0.25">
      <c r="A4" s="4" t="s">
        <v>35</v>
      </c>
      <c r="B4" s="6">
        <v>0.1779</v>
      </c>
      <c r="C4" s="6">
        <v>0.18690000000000001</v>
      </c>
      <c r="D4" s="6">
        <v>0.11169999999999999</v>
      </c>
      <c r="E4" s="6">
        <v>0.1108</v>
      </c>
      <c r="F4" s="6">
        <v>0.10390000000000001</v>
      </c>
      <c r="G4" s="13">
        <f t="shared" si="0"/>
        <v>0.13824</v>
      </c>
      <c r="I4" t="s">
        <v>267</v>
      </c>
      <c r="J4" s="15">
        <v>5</v>
      </c>
      <c r="K4" s="15">
        <v>4</v>
      </c>
      <c r="L4" s="15">
        <v>3</v>
      </c>
      <c r="M4" s="15">
        <v>2</v>
      </c>
      <c r="N4" s="15">
        <v>1</v>
      </c>
    </row>
    <row r="5" spans="1:14" ht="17" thickBot="1" x14ac:dyDescent="0.25">
      <c r="A5" s="7" t="s">
        <v>205</v>
      </c>
      <c r="B5" s="8">
        <v>0.1769</v>
      </c>
      <c r="C5" s="8">
        <v>0.1782</v>
      </c>
      <c r="D5" s="8">
        <v>0</v>
      </c>
      <c r="E5" s="8">
        <v>0.18079999999999999</v>
      </c>
      <c r="F5" s="8">
        <v>0</v>
      </c>
      <c r="G5" s="13">
        <f t="shared" si="0"/>
        <v>0.10717999999999998</v>
      </c>
    </row>
    <row r="6" spans="1:14" ht="33" thickBot="1" x14ac:dyDescent="0.25">
      <c r="A6" s="4" t="s">
        <v>240</v>
      </c>
      <c r="B6" s="6">
        <v>0.1431</v>
      </c>
      <c r="C6" s="6">
        <v>0.13619999999999999</v>
      </c>
      <c r="D6" s="6">
        <v>0.17519999999999999</v>
      </c>
      <c r="E6" s="6">
        <v>0.30280000000000001</v>
      </c>
      <c r="F6" s="6">
        <v>0.18490000000000001</v>
      </c>
      <c r="G6" s="13">
        <f t="shared" si="0"/>
        <v>0.18844000000000002</v>
      </c>
    </row>
    <row r="7" spans="1:14" ht="33" thickBot="1" x14ac:dyDescent="0.25">
      <c r="A7" s="7" t="s">
        <v>150</v>
      </c>
      <c r="B7" s="8">
        <v>0.14219999999999999</v>
      </c>
      <c r="C7" s="8">
        <v>0.14050000000000001</v>
      </c>
      <c r="D7" s="8">
        <v>0</v>
      </c>
      <c r="E7" s="8">
        <v>0</v>
      </c>
      <c r="F7" s="8">
        <v>0</v>
      </c>
      <c r="G7" s="13">
        <f t="shared" si="0"/>
        <v>5.654E-2</v>
      </c>
      <c r="I7" s="23" t="s">
        <v>115</v>
      </c>
      <c r="J7" s="23" t="s">
        <v>268</v>
      </c>
      <c r="K7" s="23" t="s">
        <v>269</v>
      </c>
      <c r="L7" s="23" t="s">
        <v>270</v>
      </c>
      <c r="M7" s="23" t="s">
        <v>271</v>
      </c>
      <c r="N7" s="23" t="s">
        <v>272</v>
      </c>
    </row>
    <row r="8" spans="1:14" ht="17" thickBot="1" x14ac:dyDescent="0.25">
      <c r="A8" s="4" t="s">
        <v>230</v>
      </c>
      <c r="B8" s="6">
        <v>0.14069999999999999</v>
      </c>
      <c r="C8" s="6">
        <v>0.1439</v>
      </c>
      <c r="D8" s="6">
        <v>0.15590000000000001</v>
      </c>
      <c r="E8" s="6">
        <v>0.1051</v>
      </c>
      <c r="F8" s="6">
        <v>0.11269999999999999</v>
      </c>
      <c r="G8" s="13">
        <f t="shared" si="0"/>
        <v>0.13166</v>
      </c>
      <c r="I8" s="24"/>
      <c r="J8" s="25">
        <v>5</v>
      </c>
      <c r="K8" s="25">
        <v>4</v>
      </c>
      <c r="L8" s="25">
        <v>3</v>
      </c>
      <c r="M8" s="25">
        <v>2</v>
      </c>
      <c r="N8" s="25">
        <v>1</v>
      </c>
    </row>
    <row r="9" spans="1:14" ht="17" thickBot="1" x14ac:dyDescent="0.25">
      <c r="A9" s="7" t="s">
        <v>70</v>
      </c>
      <c r="B9" s="8">
        <v>0.1361</v>
      </c>
      <c r="C9" s="8">
        <v>0.1406</v>
      </c>
      <c r="D9" s="8">
        <v>0.1019</v>
      </c>
      <c r="E9" s="8">
        <v>8.8700000000000001E-2</v>
      </c>
      <c r="F9" s="8">
        <v>0.1099</v>
      </c>
      <c r="G9" s="13">
        <f t="shared" si="0"/>
        <v>0.11543999999999999</v>
      </c>
    </row>
    <row r="10" spans="1:14" ht="49" thickBot="1" x14ac:dyDescent="0.25">
      <c r="A10" s="4" t="s">
        <v>238</v>
      </c>
      <c r="B10" s="6">
        <v>0.13070000000000001</v>
      </c>
      <c r="C10" s="6">
        <v>0.13070000000000001</v>
      </c>
      <c r="D10" s="6">
        <v>0.13070000000000001</v>
      </c>
      <c r="E10" s="6">
        <v>0.1489</v>
      </c>
      <c r="F10" s="6">
        <v>0.12720000000000001</v>
      </c>
      <c r="G10" s="13">
        <f t="shared" si="0"/>
        <v>0.13364000000000001</v>
      </c>
    </row>
    <row r="11" spans="1:14" ht="17" thickBot="1" x14ac:dyDescent="0.25">
      <c r="A11" s="7" t="s">
        <v>216</v>
      </c>
      <c r="B11" s="8">
        <v>0.12659999999999999</v>
      </c>
      <c r="C11" s="8">
        <v>0</v>
      </c>
      <c r="D11" s="8">
        <v>0</v>
      </c>
      <c r="E11" s="8">
        <v>0.12130000000000001</v>
      </c>
      <c r="F11" s="8">
        <v>0</v>
      </c>
      <c r="G11" s="13">
        <f t="shared" si="0"/>
        <v>4.9579999999999999E-2</v>
      </c>
    </row>
    <row r="12" spans="1:14" ht="17" thickBot="1" x14ac:dyDescent="0.25">
      <c r="A12" s="4" t="s">
        <v>183</v>
      </c>
      <c r="B12" s="6">
        <v>0.1226</v>
      </c>
      <c r="C12" s="6">
        <v>0.12230000000000001</v>
      </c>
      <c r="D12" s="6">
        <v>0.109</v>
      </c>
      <c r="E12" s="6">
        <v>0.1129</v>
      </c>
      <c r="F12" s="6">
        <v>0.1225</v>
      </c>
      <c r="G12" s="13">
        <f t="shared" si="0"/>
        <v>0.11785999999999999</v>
      </c>
    </row>
    <row r="13" spans="1:14" ht="17" thickBot="1" x14ac:dyDescent="0.25">
      <c r="A13" s="7" t="s">
        <v>34</v>
      </c>
      <c r="B13" s="8">
        <v>0.12239999999999999</v>
      </c>
      <c r="C13" s="8">
        <v>0.1182</v>
      </c>
      <c r="D13" s="8">
        <v>0</v>
      </c>
      <c r="E13" s="8">
        <v>0</v>
      </c>
      <c r="F13" s="8">
        <v>0</v>
      </c>
      <c r="G13" s="13">
        <f t="shared" si="0"/>
        <v>4.8119999999999996E-2</v>
      </c>
    </row>
    <row r="14" spans="1:14" ht="17" thickBot="1" x14ac:dyDescent="0.25">
      <c r="A14" s="4" t="s">
        <v>273</v>
      </c>
      <c r="B14" s="6">
        <v>0.122</v>
      </c>
      <c r="C14" s="6">
        <v>0.1237</v>
      </c>
      <c r="D14" s="6">
        <v>0</v>
      </c>
      <c r="E14" s="6">
        <v>0</v>
      </c>
      <c r="F14" s="6">
        <v>0</v>
      </c>
      <c r="G14" s="13">
        <f t="shared" si="0"/>
        <v>4.9140000000000003E-2</v>
      </c>
    </row>
    <row r="15" spans="1:14" ht="17" thickBot="1" x14ac:dyDescent="0.25">
      <c r="A15" s="7" t="s">
        <v>204</v>
      </c>
      <c r="B15" s="8">
        <v>0.11990000000000001</v>
      </c>
      <c r="C15" s="8">
        <v>0.11600000000000001</v>
      </c>
      <c r="D15" s="8">
        <v>0.14219999999999999</v>
      </c>
      <c r="E15" s="8">
        <v>0.1236</v>
      </c>
      <c r="F15" s="8">
        <v>0</v>
      </c>
      <c r="G15" s="13">
        <f t="shared" si="0"/>
        <v>0.10034000000000001</v>
      </c>
    </row>
    <row r="16" spans="1:14" ht="17" thickBot="1" x14ac:dyDescent="0.25">
      <c r="A16" s="4" t="s">
        <v>189</v>
      </c>
      <c r="B16" s="6">
        <v>0.1197</v>
      </c>
      <c r="C16" s="6">
        <v>0.1019</v>
      </c>
      <c r="D16" s="6">
        <v>9.5500000000000002E-2</v>
      </c>
      <c r="E16" s="6">
        <v>4.0800000000000003E-2</v>
      </c>
      <c r="F16" s="6">
        <v>0</v>
      </c>
      <c r="G16" s="13">
        <f t="shared" si="0"/>
        <v>7.1580000000000005E-2</v>
      </c>
    </row>
    <row r="17" spans="1:7" ht="33" thickBot="1" x14ac:dyDescent="0.25">
      <c r="A17" s="7" t="s">
        <v>200</v>
      </c>
      <c r="B17" s="8">
        <v>0.1182</v>
      </c>
      <c r="C17" s="8">
        <v>0.11650000000000001</v>
      </c>
      <c r="D17" s="8">
        <v>0.1128</v>
      </c>
      <c r="E17" s="8">
        <v>0.1439</v>
      </c>
      <c r="F17" s="8">
        <v>0.155</v>
      </c>
      <c r="G17" s="13">
        <f t="shared" si="0"/>
        <v>0.12928000000000001</v>
      </c>
    </row>
    <row r="18" spans="1:7" ht="17" thickBot="1" x14ac:dyDescent="0.25">
      <c r="A18" s="4" t="s">
        <v>251</v>
      </c>
      <c r="B18" s="6">
        <v>0.1137</v>
      </c>
      <c r="C18" s="6">
        <v>0</v>
      </c>
      <c r="D18" s="6">
        <v>0</v>
      </c>
      <c r="E18" s="6">
        <v>0</v>
      </c>
      <c r="F18" s="6">
        <v>0</v>
      </c>
      <c r="G18" s="13">
        <f t="shared" si="0"/>
        <v>2.274E-2</v>
      </c>
    </row>
    <row r="19" spans="1:7" ht="17" thickBot="1" x14ac:dyDescent="0.25">
      <c r="A19" s="7" t="s">
        <v>188</v>
      </c>
      <c r="B19" s="8">
        <v>0.1133</v>
      </c>
      <c r="C19" s="8">
        <v>9.2299999999999993E-2</v>
      </c>
      <c r="D19" s="8">
        <v>6.5199999999999994E-2</v>
      </c>
      <c r="E19" s="8">
        <v>7.6799999999999993E-2</v>
      </c>
      <c r="F19" s="8">
        <v>0</v>
      </c>
      <c r="G19" s="13">
        <f t="shared" si="0"/>
        <v>6.9519999999999998E-2</v>
      </c>
    </row>
    <row r="20" spans="1:7" ht="17" thickBot="1" x14ac:dyDescent="0.25">
      <c r="A20" s="4" t="s">
        <v>229</v>
      </c>
      <c r="B20" s="6">
        <v>0.1108</v>
      </c>
      <c r="C20" s="6">
        <v>0.12659999999999999</v>
      </c>
      <c r="D20" s="6">
        <v>0</v>
      </c>
      <c r="E20" s="6">
        <v>0</v>
      </c>
      <c r="F20" s="6">
        <v>8.3400000000000002E-2</v>
      </c>
      <c r="G20" s="13">
        <f t="shared" si="0"/>
        <v>6.4159999999999995E-2</v>
      </c>
    </row>
    <row r="21" spans="1:7" ht="33" thickBot="1" x14ac:dyDescent="0.25">
      <c r="A21" s="7" t="s">
        <v>212</v>
      </c>
      <c r="B21" s="8">
        <v>0.1095</v>
      </c>
      <c r="C21" s="8">
        <v>0.1099</v>
      </c>
      <c r="D21" s="8">
        <v>8.6400000000000005E-2</v>
      </c>
      <c r="E21" s="8">
        <v>0</v>
      </c>
      <c r="F21" s="8">
        <v>0</v>
      </c>
      <c r="G21" s="13">
        <f t="shared" si="0"/>
        <v>6.1159999999999992E-2</v>
      </c>
    </row>
    <row r="22" spans="1:7" ht="17" thickBot="1" x14ac:dyDescent="0.25">
      <c r="A22" s="4" t="s">
        <v>196</v>
      </c>
      <c r="B22" s="6">
        <v>0.1089</v>
      </c>
      <c r="C22" s="6">
        <v>9.8599999999999993E-2</v>
      </c>
      <c r="D22" s="6">
        <v>9.8599999999999993E-2</v>
      </c>
      <c r="E22" s="6">
        <v>0.1525</v>
      </c>
      <c r="F22" s="6">
        <v>0.1784</v>
      </c>
      <c r="G22" s="13">
        <f t="shared" si="0"/>
        <v>0.12740000000000001</v>
      </c>
    </row>
    <row r="23" spans="1:7" ht="17" thickBot="1" x14ac:dyDescent="0.25">
      <c r="A23" s="7" t="s">
        <v>194</v>
      </c>
      <c r="B23" s="8">
        <v>0.10730000000000001</v>
      </c>
      <c r="C23" s="8">
        <v>0.10979999999999999</v>
      </c>
      <c r="D23" s="8">
        <v>0.10979999999999999</v>
      </c>
      <c r="E23" s="8">
        <v>0.1285</v>
      </c>
      <c r="F23" s="8">
        <v>0.1343</v>
      </c>
      <c r="G23" s="13">
        <f t="shared" si="0"/>
        <v>0.11794</v>
      </c>
    </row>
    <row r="24" spans="1:7" ht="17" thickBot="1" x14ac:dyDescent="0.25">
      <c r="A24" s="4" t="s">
        <v>274</v>
      </c>
      <c r="B24" s="6">
        <v>0.1055</v>
      </c>
      <c r="C24" s="6">
        <v>0.11550000000000001</v>
      </c>
      <c r="D24" s="6">
        <v>0.18390000000000001</v>
      </c>
      <c r="E24" s="6">
        <v>0.1139</v>
      </c>
      <c r="F24" s="6">
        <v>0.12039999999999999</v>
      </c>
      <c r="G24" s="13">
        <f t="shared" si="0"/>
        <v>0.12784000000000001</v>
      </c>
    </row>
    <row r="25" spans="1:7" ht="17" thickBot="1" x14ac:dyDescent="0.25">
      <c r="A25" s="7" t="s">
        <v>182</v>
      </c>
      <c r="B25" s="8">
        <v>0.1051</v>
      </c>
      <c r="C25" s="8">
        <v>0.1051</v>
      </c>
      <c r="D25" s="8">
        <v>0.1002</v>
      </c>
      <c r="E25" s="8">
        <v>0.10340000000000001</v>
      </c>
      <c r="F25" s="8">
        <v>0.1061</v>
      </c>
      <c r="G25" s="13">
        <f t="shared" si="0"/>
        <v>0.10398</v>
      </c>
    </row>
    <row r="26" spans="1:7" ht="17" thickBot="1" x14ac:dyDescent="0.25">
      <c r="A26" s="4" t="s">
        <v>199</v>
      </c>
      <c r="B26" s="6">
        <v>0.10290000000000001</v>
      </c>
      <c r="C26" s="6">
        <v>0.1016</v>
      </c>
      <c r="D26" s="6">
        <v>9.9900000000000003E-2</v>
      </c>
      <c r="E26" s="6">
        <v>9.98E-2</v>
      </c>
      <c r="F26" s="6">
        <v>9.3799999999999994E-2</v>
      </c>
      <c r="G26" s="13">
        <f t="shared" si="0"/>
        <v>9.9599999999999994E-2</v>
      </c>
    </row>
    <row r="27" spans="1:7" ht="33" thickBot="1" x14ac:dyDescent="0.25">
      <c r="A27" s="7" t="s">
        <v>163</v>
      </c>
      <c r="B27" s="8">
        <v>9.9599999999999994E-2</v>
      </c>
      <c r="C27" s="8">
        <v>0.12180000000000001</v>
      </c>
      <c r="D27" s="8">
        <v>0.11550000000000001</v>
      </c>
      <c r="E27" s="8">
        <v>0</v>
      </c>
      <c r="F27" s="8">
        <v>0</v>
      </c>
      <c r="G27" s="13">
        <f t="shared" si="0"/>
        <v>6.7379999999999995E-2</v>
      </c>
    </row>
    <row r="28" spans="1:7" ht="17" thickBot="1" x14ac:dyDescent="0.25">
      <c r="A28" s="4" t="s">
        <v>32</v>
      </c>
      <c r="B28" s="6">
        <v>9.6600000000000005E-2</v>
      </c>
      <c r="C28" s="6">
        <v>0</v>
      </c>
      <c r="D28" s="6">
        <v>0.1212</v>
      </c>
      <c r="E28" s="6">
        <v>0.10150000000000001</v>
      </c>
      <c r="F28" s="6">
        <v>0.10299999999999999</v>
      </c>
      <c r="G28" s="13">
        <f t="shared" si="0"/>
        <v>8.4460000000000007E-2</v>
      </c>
    </row>
    <row r="29" spans="1:7" ht="17" thickBot="1" x14ac:dyDescent="0.25">
      <c r="A29" s="7" t="s">
        <v>218</v>
      </c>
      <c r="B29" s="8">
        <v>9.4899999999999998E-2</v>
      </c>
      <c r="C29" s="8">
        <v>9.6000000000000002E-2</v>
      </c>
      <c r="D29" s="8">
        <v>1.1820999999999999</v>
      </c>
      <c r="E29" s="8">
        <v>0.3463</v>
      </c>
      <c r="F29" s="8">
        <v>0.29880000000000001</v>
      </c>
      <c r="G29" s="13">
        <f t="shared" si="0"/>
        <v>0.40361999999999998</v>
      </c>
    </row>
    <row r="30" spans="1:7" ht="17" thickBot="1" x14ac:dyDescent="0.25">
      <c r="A30" s="4" t="s">
        <v>211</v>
      </c>
      <c r="B30" s="6">
        <v>9.2999999999999999E-2</v>
      </c>
      <c r="C30" s="6">
        <v>9.3200000000000005E-2</v>
      </c>
      <c r="D30" s="6">
        <v>0.1148</v>
      </c>
      <c r="E30" s="6">
        <v>0.1007</v>
      </c>
      <c r="F30" s="6">
        <v>0</v>
      </c>
      <c r="G30" s="13">
        <f t="shared" si="0"/>
        <v>8.0339999999999995E-2</v>
      </c>
    </row>
    <row r="31" spans="1:7" ht="81" thickBot="1" x14ac:dyDescent="0.25">
      <c r="A31" s="7" t="s">
        <v>275</v>
      </c>
      <c r="B31" s="8">
        <v>9.06E-2</v>
      </c>
      <c r="C31" s="8">
        <v>8.9700000000000002E-2</v>
      </c>
      <c r="D31" s="8">
        <v>8.8400000000000006E-2</v>
      </c>
      <c r="E31" s="8">
        <v>8.9200000000000002E-2</v>
      </c>
      <c r="F31" s="8">
        <v>8.9300000000000004E-2</v>
      </c>
      <c r="G31" s="13">
        <f t="shared" si="0"/>
        <v>8.9440000000000006E-2</v>
      </c>
    </row>
    <row r="32" spans="1:7" ht="17" thickBot="1" x14ac:dyDescent="0.25">
      <c r="A32" s="4" t="s">
        <v>215</v>
      </c>
      <c r="B32" s="6">
        <v>9.0300000000000005E-2</v>
      </c>
      <c r="C32" s="6">
        <v>8.6699999999999999E-2</v>
      </c>
      <c r="D32" s="6">
        <v>8.6900000000000005E-2</v>
      </c>
      <c r="E32" s="6">
        <v>9.4500000000000001E-2</v>
      </c>
      <c r="F32" s="6">
        <v>0</v>
      </c>
      <c r="G32" s="13">
        <f t="shared" si="0"/>
        <v>7.1680000000000008E-2</v>
      </c>
    </row>
    <row r="33" spans="1:7" ht="17" thickBot="1" x14ac:dyDescent="0.25">
      <c r="A33" s="7" t="s">
        <v>40</v>
      </c>
      <c r="B33" s="8">
        <v>8.9099999999999999E-2</v>
      </c>
      <c r="C33" s="8">
        <v>8.8300000000000003E-2</v>
      </c>
      <c r="D33" s="8">
        <v>8.5400000000000004E-2</v>
      </c>
      <c r="E33" s="8">
        <v>0</v>
      </c>
      <c r="F33" s="8">
        <v>7.1499999999999994E-2</v>
      </c>
      <c r="G33" s="13">
        <f t="shared" si="0"/>
        <v>6.6860000000000003E-2</v>
      </c>
    </row>
    <row r="34" spans="1:7" ht="17" thickBot="1" x14ac:dyDescent="0.25">
      <c r="A34" s="4" t="s">
        <v>181</v>
      </c>
      <c r="B34" s="6">
        <v>8.8800000000000004E-2</v>
      </c>
      <c r="C34" s="6">
        <v>9.0700000000000003E-2</v>
      </c>
      <c r="D34" s="6">
        <v>9.1200000000000003E-2</v>
      </c>
      <c r="E34" s="6">
        <v>0.1152</v>
      </c>
      <c r="F34" s="6">
        <v>0.123</v>
      </c>
      <c r="G34" s="13">
        <f t="shared" si="0"/>
        <v>0.10178000000000001</v>
      </c>
    </row>
    <row r="35" spans="1:7" ht="49" thickBot="1" x14ac:dyDescent="0.25">
      <c r="A35" s="7" t="s">
        <v>276</v>
      </c>
      <c r="B35" s="8">
        <v>8.8700000000000001E-2</v>
      </c>
      <c r="C35" s="8">
        <v>0</v>
      </c>
      <c r="D35" s="8">
        <v>0</v>
      </c>
      <c r="E35" s="8">
        <v>0</v>
      </c>
      <c r="F35" s="8">
        <v>0</v>
      </c>
      <c r="G35" s="13">
        <f t="shared" si="0"/>
        <v>1.7739999999999999E-2</v>
      </c>
    </row>
    <row r="36" spans="1:7" ht="17" thickBot="1" x14ac:dyDescent="0.25">
      <c r="A36" s="4" t="s">
        <v>208</v>
      </c>
      <c r="B36" s="6">
        <v>8.6699999999999999E-2</v>
      </c>
      <c r="C36" s="6">
        <v>8.9399999999999993E-2</v>
      </c>
      <c r="D36" s="6">
        <v>8.3699999999999997E-2</v>
      </c>
      <c r="E36" s="6">
        <v>8.5500000000000007E-2</v>
      </c>
      <c r="F36" s="6">
        <v>0</v>
      </c>
      <c r="G36" s="13">
        <f t="shared" si="0"/>
        <v>6.9059999999999996E-2</v>
      </c>
    </row>
    <row r="37" spans="1:7" ht="17" thickBot="1" x14ac:dyDescent="0.25">
      <c r="A37" s="7" t="s">
        <v>209</v>
      </c>
      <c r="B37" s="8">
        <v>8.6699999999999999E-2</v>
      </c>
      <c r="C37" s="8">
        <v>8.09E-2</v>
      </c>
      <c r="D37" s="8">
        <v>8.0500000000000002E-2</v>
      </c>
      <c r="E37" s="8">
        <v>8.0100000000000005E-2</v>
      </c>
      <c r="F37" s="8">
        <v>0</v>
      </c>
      <c r="G37" s="13">
        <f t="shared" si="0"/>
        <v>6.5640000000000004E-2</v>
      </c>
    </row>
    <row r="38" spans="1:7" ht="17" thickBot="1" x14ac:dyDescent="0.25">
      <c r="A38" s="4" t="s">
        <v>49</v>
      </c>
      <c r="B38" s="6">
        <v>8.6099999999999996E-2</v>
      </c>
      <c r="C38" s="6">
        <v>8.4099999999999994E-2</v>
      </c>
      <c r="D38" s="6">
        <v>0</v>
      </c>
      <c r="E38" s="6">
        <v>0</v>
      </c>
      <c r="F38" s="6">
        <v>0</v>
      </c>
      <c r="G38" s="13">
        <f t="shared" si="0"/>
        <v>3.4040000000000001E-2</v>
      </c>
    </row>
    <row r="39" spans="1:7" ht="17" thickBot="1" x14ac:dyDescent="0.25">
      <c r="A39" s="7" t="s">
        <v>214</v>
      </c>
      <c r="B39" s="8">
        <v>8.5300000000000001E-2</v>
      </c>
      <c r="C39" s="8">
        <v>0.11310000000000001</v>
      </c>
      <c r="D39" s="8">
        <v>8.5199999999999998E-2</v>
      </c>
      <c r="E39" s="8">
        <v>7.8899999999999998E-2</v>
      </c>
      <c r="F39" s="8">
        <v>0</v>
      </c>
      <c r="G39" s="13">
        <f t="shared" si="0"/>
        <v>7.2500000000000009E-2</v>
      </c>
    </row>
    <row r="40" spans="1:7" ht="17" thickBot="1" x14ac:dyDescent="0.25">
      <c r="A40" s="4" t="s">
        <v>213</v>
      </c>
      <c r="B40" s="6">
        <v>8.4599999999999995E-2</v>
      </c>
      <c r="C40" s="6">
        <v>8.0600000000000005E-2</v>
      </c>
      <c r="D40" s="6">
        <v>9.2700000000000005E-2</v>
      </c>
      <c r="E40" s="6">
        <v>0.11020000000000001</v>
      </c>
      <c r="F40" s="6">
        <v>0.1192</v>
      </c>
      <c r="G40" s="13">
        <f t="shared" si="0"/>
        <v>9.7460000000000019E-2</v>
      </c>
    </row>
    <row r="41" spans="1:7" ht="17" thickBot="1" x14ac:dyDescent="0.25">
      <c r="A41" s="7" t="s">
        <v>69</v>
      </c>
      <c r="B41" s="8">
        <v>8.43E-2</v>
      </c>
      <c r="C41" s="8">
        <v>8.72E-2</v>
      </c>
      <c r="D41" s="8">
        <v>8.72E-2</v>
      </c>
      <c r="E41" s="8">
        <v>0.10539999999999999</v>
      </c>
      <c r="F41" s="8">
        <v>0</v>
      </c>
      <c r="G41" s="13">
        <f t="shared" si="0"/>
        <v>7.2819999999999996E-2</v>
      </c>
    </row>
    <row r="42" spans="1:7" ht="17" thickBot="1" x14ac:dyDescent="0.25">
      <c r="A42" s="4" t="s">
        <v>138</v>
      </c>
      <c r="B42" s="6">
        <v>8.3500000000000005E-2</v>
      </c>
      <c r="C42" s="6">
        <v>0.16619999999999999</v>
      </c>
      <c r="D42" s="6">
        <v>0.2397</v>
      </c>
      <c r="E42" s="6">
        <v>0.16339999999999999</v>
      </c>
      <c r="F42" s="6">
        <v>0.1605</v>
      </c>
      <c r="G42" s="13">
        <f t="shared" si="0"/>
        <v>0.16265999999999997</v>
      </c>
    </row>
    <row r="43" spans="1:7" ht="17" thickBot="1" x14ac:dyDescent="0.25">
      <c r="A43" s="7" t="s">
        <v>155</v>
      </c>
      <c r="B43" s="8">
        <v>8.3199999999999996E-2</v>
      </c>
      <c r="C43" s="8">
        <v>0.12189999999999999</v>
      </c>
      <c r="D43" s="8">
        <v>8.0299999999999996E-2</v>
      </c>
      <c r="E43" s="8">
        <v>8.0299999999999996E-2</v>
      </c>
      <c r="F43" s="8">
        <v>0</v>
      </c>
      <c r="G43" s="13">
        <f t="shared" si="0"/>
        <v>7.3139999999999997E-2</v>
      </c>
    </row>
    <row r="44" spans="1:7" ht="17" thickBot="1" x14ac:dyDescent="0.25">
      <c r="A44" s="4" t="s">
        <v>190</v>
      </c>
      <c r="B44" s="6">
        <v>7.8799999999999995E-2</v>
      </c>
      <c r="C44" s="6">
        <v>9.2399999999999996E-2</v>
      </c>
      <c r="D44" s="6">
        <v>7.2300000000000003E-2</v>
      </c>
      <c r="E44" s="6">
        <v>9.4200000000000006E-2</v>
      </c>
      <c r="F44" s="6">
        <v>0.1004</v>
      </c>
      <c r="G44" s="13">
        <f t="shared" si="0"/>
        <v>8.7620000000000003E-2</v>
      </c>
    </row>
    <row r="45" spans="1:7" ht="17" thickBot="1" x14ac:dyDescent="0.25">
      <c r="A45" s="7" t="s">
        <v>54</v>
      </c>
      <c r="B45" s="8">
        <v>7.7600000000000002E-2</v>
      </c>
      <c r="C45" s="8">
        <v>8.4099999999999994E-2</v>
      </c>
      <c r="D45" s="8">
        <v>7.9699999999999993E-2</v>
      </c>
      <c r="E45" s="8">
        <v>7.9500000000000001E-2</v>
      </c>
      <c r="F45" s="8">
        <v>8.5900000000000004E-2</v>
      </c>
      <c r="G45" s="13">
        <f t="shared" si="0"/>
        <v>8.1360000000000016E-2</v>
      </c>
    </row>
    <row r="46" spans="1:7" ht="33" thickBot="1" x14ac:dyDescent="0.25">
      <c r="A46" s="4" t="s">
        <v>180</v>
      </c>
      <c r="B46" s="6">
        <v>7.51E-2</v>
      </c>
      <c r="C46" s="6">
        <v>7.1999999999999995E-2</v>
      </c>
      <c r="D46" s="6">
        <v>7.5399999999999995E-2</v>
      </c>
      <c r="E46" s="6">
        <v>7.7399999999999997E-2</v>
      </c>
      <c r="F46" s="6">
        <v>6.83E-2</v>
      </c>
      <c r="G46" s="13">
        <f t="shared" si="0"/>
        <v>7.3639999999999997E-2</v>
      </c>
    </row>
    <row r="47" spans="1:7" ht="33" thickBot="1" x14ac:dyDescent="0.25">
      <c r="A47" s="7" t="s">
        <v>192</v>
      </c>
      <c r="B47" s="8">
        <v>7.2999999999999995E-2</v>
      </c>
      <c r="C47" s="8">
        <v>7.1499999999999994E-2</v>
      </c>
      <c r="D47" s="8">
        <v>5.8400000000000001E-2</v>
      </c>
      <c r="E47" s="8">
        <v>7.7899999999999997E-2</v>
      </c>
      <c r="F47" s="8">
        <v>9.0800000000000006E-2</v>
      </c>
      <c r="G47" s="13">
        <f t="shared" si="0"/>
        <v>7.4319999999999997E-2</v>
      </c>
    </row>
    <row r="48" spans="1:7" ht="17" thickBot="1" x14ac:dyDescent="0.25">
      <c r="A48" s="4" t="s">
        <v>277</v>
      </c>
      <c r="B48" s="6">
        <v>6.6400000000000001E-2</v>
      </c>
      <c r="C48" s="6">
        <v>6.6000000000000003E-2</v>
      </c>
      <c r="D48" s="6">
        <v>0</v>
      </c>
      <c r="E48" s="6">
        <v>9.5399999999999999E-2</v>
      </c>
      <c r="F48" s="6">
        <v>0</v>
      </c>
      <c r="G48" s="13">
        <f t="shared" si="0"/>
        <v>4.5560000000000003E-2</v>
      </c>
    </row>
    <row r="49" spans="1:7" ht="17" thickBot="1" x14ac:dyDescent="0.25">
      <c r="A49" s="7" t="s">
        <v>249</v>
      </c>
      <c r="B49" s="8">
        <v>6.59E-2</v>
      </c>
      <c r="C49" s="8">
        <v>6.5600000000000006E-2</v>
      </c>
      <c r="D49" s="8">
        <v>0</v>
      </c>
      <c r="E49" s="8">
        <v>0</v>
      </c>
      <c r="F49" s="8">
        <v>5.5300000000000002E-2</v>
      </c>
      <c r="G49" s="13">
        <f t="shared" si="0"/>
        <v>3.7360000000000004E-2</v>
      </c>
    </row>
    <row r="50" spans="1:7" ht="17" thickBot="1" x14ac:dyDescent="0.25">
      <c r="A50" s="4" t="s">
        <v>52</v>
      </c>
      <c r="B50" s="6">
        <v>6.5100000000000005E-2</v>
      </c>
      <c r="C50" s="6">
        <v>6.88E-2</v>
      </c>
      <c r="D50" s="6">
        <v>7.2599999999999998E-2</v>
      </c>
      <c r="E50" s="6">
        <v>7.4200000000000002E-2</v>
      </c>
      <c r="F50" s="6">
        <v>7.9299999999999995E-2</v>
      </c>
      <c r="G50" s="13">
        <f t="shared" si="0"/>
        <v>7.1999999999999995E-2</v>
      </c>
    </row>
    <row r="51" spans="1:7" ht="17" thickBot="1" x14ac:dyDescent="0.25">
      <c r="A51" s="7" t="s">
        <v>62</v>
      </c>
      <c r="B51" s="8">
        <v>6.4299999999999996E-2</v>
      </c>
      <c r="C51" s="8">
        <v>5.7700000000000001E-2</v>
      </c>
      <c r="D51" s="8">
        <v>0</v>
      </c>
      <c r="E51" s="8">
        <v>0</v>
      </c>
      <c r="F51" s="8">
        <v>0</v>
      </c>
      <c r="G51" s="13">
        <f t="shared" si="0"/>
        <v>2.4399999999999998E-2</v>
      </c>
    </row>
    <row r="52" spans="1:7" ht="17" thickBot="1" x14ac:dyDescent="0.25">
      <c r="A52" s="4" t="s">
        <v>172</v>
      </c>
      <c r="B52" s="6">
        <v>6.0100000000000001E-2</v>
      </c>
      <c r="C52" s="6">
        <v>5.9299999999999999E-2</v>
      </c>
      <c r="D52" s="6">
        <v>0.1198</v>
      </c>
      <c r="E52" s="6">
        <v>0</v>
      </c>
      <c r="F52" s="6">
        <v>0</v>
      </c>
      <c r="G52" s="13">
        <f t="shared" si="0"/>
        <v>4.7840000000000008E-2</v>
      </c>
    </row>
    <row r="53" spans="1:7" ht="17" thickBot="1" x14ac:dyDescent="0.25">
      <c r="A53" s="7" t="s">
        <v>278</v>
      </c>
      <c r="B53" s="8">
        <v>5.9499999999999997E-2</v>
      </c>
      <c r="C53" s="8">
        <v>6.1800000000000001E-2</v>
      </c>
      <c r="D53" s="8">
        <v>4.24E-2</v>
      </c>
      <c r="E53" s="8">
        <v>0</v>
      </c>
      <c r="F53" s="8">
        <v>0</v>
      </c>
      <c r="G53" s="13">
        <f t="shared" si="0"/>
        <v>3.2739999999999998E-2</v>
      </c>
    </row>
    <row r="54" spans="1:7" ht="17" thickBot="1" x14ac:dyDescent="0.25">
      <c r="A54" s="4" t="s">
        <v>79</v>
      </c>
      <c r="B54" s="6">
        <v>5.8700000000000002E-2</v>
      </c>
      <c r="C54" s="6">
        <v>6.1899999999999997E-2</v>
      </c>
      <c r="D54" s="6">
        <v>6.59E-2</v>
      </c>
      <c r="E54" s="6">
        <v>4.8800000000000003E-2</v>
      </c>
      <c r="F54" s="6">
        <v>5.7799999999999997E-2</v>
      </c>
      <c r="G54" s="13">
        <f t="shared" si="0"/>
        <v>5.8620000000000005E-2</v>
      </c>
    </row>
    <row r="55" spans="1:7" ht="33" thickBot="1" x14ac:dyDescent="0.25">
      <c r="A55" s="7" t="s">
        <v>248</v>
      </c>
      <c r="B55" s="8">
        <v>5.7500000000000002E-2</v>
      </c>
      <c r="C55" s="8">
        <v>4.8300000000000003E-2</v>
      </c>
      <c r="D55" s="8">
        <v>4.6199999999999998E-2</v>
      </c>
      <c r="E55" s="8">
        <v>5.0500000000000003E-2</v>
      </c>
      <c r="F55" s="8">
        <v>5.0500000000000003E-2</v>
      </c>
      <c r="G55" s="13">
        <f t="shared" si="0"/>
        <v>5.0599999999999999E-2</v>
      </c>
    </row>
    <row r="56" spans="1:7" ht="17" thickBot="1" x14ac:dyDescent="0.25">
      <c r="A56" s="4" t="s">
        <v>142</v>
      </c>
      <c r="B56" s="6">
        <v>5.3699999999999998E-2</v>
      </c>
      <c r="C56" s="6">
        <v>6.2100000000000002E-2</v>
      </c>
      <c r="D56" s="6">
        <v>0</v>
      </c>
      <c r="E56" s="6">
        <v>0</v>
      </c>
      <c r="F56" s="6">
        <v>0</v>
      </c>
      <c r="G56" s="13">
        <f t="shared" si="0"/>
        <v>2.316E-2</v>
      </c>
    </row>
    <row r="57" spans="1:7" ht="17" thickBot="1" x14ac:dyDescent="0.25">
      <c r="A57" s="7" t="s">
        <v>129</v>
      </c>
      <c r="B57" s="8">
        <v>5.28E-2</v>
      </c>
      <c r="C57" s="8">
        <v>5.2999999999999999E-2</v>
      </c>
      <c r="D57" s="8">
        <v>5.3100000000000001E-2</v>
      </c>
      <c r="E57" s="8">
        <v>5.2600000000000001E-2</v>
      </c>
      <c r="F57" s="8">
        <v>5.5199999999999999E-2</v>
      </c>
      <c r="G57" s="13">
        <f t="shared" si="0"/>
        <v>5.3340000000000012E-2</v>
      </c>
    </row>
    <row r="58" spans="1:7" ht="17" thickBot="1" x14ac:dyDescent="0.25">
      <c r="A58" s="4" t="s">
        <v>71</v>
      </c>
      <c r="B58" s="6">
        <v>5.2499999999999998E-2</v>
      </c>
      <c r="C58" s="6">
        <v>5.2900000000000003E-2</v>
      </c>
      <c r="D58" s="6">
        <v>5.33E-2</v>
      </c>
      <c r="E58" s="6">
        <v>5.3499999999999999E-2</v>
      </c>
      <c r="F58" s="6">
        <v>6.3E-2</v>
      </c>
      <c r="G58" s="13">
        <f t="shared" si="0"/>
        <v>5.5039999999999999E-2</v>
      </c>
    </row>
    <row r="59" spans="1:7" ht="17" thickBot="1" x14ac:dyDescent="0.25">
      <c r="A59" s="7" t="s">
        <v>53</v>
      </c>
      <c r="B59" s="8">
        <v>5.1200000000000002E-2</v>
      </c>
      <c r="C59" s="8">
        <v>5.1799999999999999E-2</v>
      </c>
      <c r="D59" s="8">
        <v>4.7300000000000002E-2</v>
      </c>
      <c r="E59" s="8">
        <v>4.7300000000000002E-2</v>
      </c>
      <c r="F59" s="8">
        <v>6.0999999999999999E-2</v>
      </c>
      <c r="G59" s="13">
        <f t="shared" si="0"/>
        <v>5.1720000000000009E-2</v>
      </c>
    </row>
    <row r="60" spans="1:7" ht="33" thickBot="1" x14ac:dyDescent="0.25">
      <c r="A60" s="4" t="s">
        <v>167</v>
      </c>
      <c r="B60" s="6">
        <v>4.8500000000000001E-2</v>
      </c>
      <c r="C60" s="6">
        <v>5.4800000000000001E-2</v>
      </c>
      <c r="D60" s="6">
        <v>0</v>
      </c>
      <c r="E60" s="6">
        <v>4.8300000000000003E-2</v>
      </c>
      <c r="F60" s="6">
        <v>5.0500000000000003E-2</v>
      </c>
      <c r="G60" s="13">
        <f t="shared" si="0"/>
        <v>4.0419999999999998E-2</v>
      </c>
    </row>
    <row r="61" spans="1:7" ht="17" thickBot="1" x14ac:dyDescent="0.25">
      <c r="A61" s="7" t="s">
        <v>174</v>
      </c>
      <c r="B61" s="8">
        <v>4.8099999999999997E-2</v>
      </c>
      <c r="C61" s="8">
        <v>4.82E-2</v>
      </c>
      <c r="D61" s="8">
        <v>0</v>
      </c>
      <c r="E61" s="8">
        <v>3.39E-2</v>
      </c>
      <c r="F61" s="8">
        <v>0</v>
      </c>
      <c r="G61" s="13">
        <f t="shared" si="0"/>
        <v>2.6039999999999997E-2</v>
      </c>
    </row>
    <row r="62" spans="1:7" ht="17" thickBot="1" x14ac:dyDescent="0.25">
      <c r="A62" s="4" t="s">
        <v>58</v>
      </c>
      <c r="B62" s="6">
        <v>4.7300000000000002E-2</v>
      </c>
      <c r="C62" s="6">
        <v>6.5100000000000005E-2</v>
      </c>
      <c r="D62" s="6">
        <v>9.5500000000000002E-2</v>
      </c>
      <c r="E62" s="6">
        <v>3.7400000000000003E-2</v>
      </c>
      <c r="F62" s="6">
        <v>6.6100000000000006E-2</v>
      </c>
      <c r="G62" s="13">
        <f t="shared" si="0"/>
        <v>6.2280000000000002E-2</v>
      </c>
    </row>
    <row r="63" spans="1:7" ht="17" thickBot="1" x14ac:dyDescent="0.25">
      <c r="A63" s="7" t="s">
        <v>57</v>
      </c>
      <c r="B63" s="8">
        <v>4.6300000000000001E-2</v>
      </c>
      <c r="C63" s="8">
        <v>6.2100000000000002E-2</v>
      </c>
      <c r="D63" s="8">
        <v>8.1100000000000005E-2</v>
      </c>
      <c r="E63" s="8">
        <v>7.3499999999999996E-2</v>
      </c>
      <c r="F63" s="8">
        <v>7.0300000000000001E-2</v>
      </c>
      <c r="G63" s="13">
        <f t="shared" si="0"/>
        <v>6.6660000000000011E-2</v>
      </c>
    </row>
    <row r="64" spans="1:7" ht="17" thickBot="1" x14ac:dyDescent="0.25">
      <c r="A64" s="4" t="s">
        <v>63</v>
      </c>
      <c r="B64" s="6">
        <v>4.4900000000000002E-2</v>
      </c>
      <c r="C64" s="6">
        <v>4.0500000000000001E-2</v>
      </c>
      <c r="D64" s="6">
        <v>4.9799999999999997E-2</v>
      </c>
      <c r="E64" s="6">
        <v>4.9799999999999997E-2</v>
      </c>
      <c r="F64" s="6">
        <v>4.8000000000000001E-2</v>
      </c>
      <c r="G64" s="13">
        <f t="shared" si="0"/>
        <v>4.6599999999999996E-2</v>
      </c>
    </row>
    <row r="65" spans="1:7" ht="33" thickBot="1" x14ac:dyDescent="0.25">
      <c r="A65" s="7" t="s">
        <v>191</v>
      </c>
      <c r="B65" s="8">
        <v>4.4600000000000001E-2</v>
      </c>
      <c r="C65" s="8">
        <v>4.3999999999999997E-2</v>
      </c>
      <c r="D65" s="8">
        <v>5.3699999999999998E-2</v>
      </c>
      <c r="E65" s="8">
        <v>4.3200000000000002E-2</v>
      </c>
      <c r="F65" s="8">
        <v>4.6100000000000002E-2</v>
      </c>
      <c r="G65" s="13">
        <f t="shared" si="0"/>
        <v>4.632E-2</v>
      </c>
    </row>
    <row r="66" spans="1:7" ht="17" thickBot="1" x14ac:dyDescent="0.25">
      <c r="A66" s="4" t="s">
        <v>202</v>
      </c>
      <c r="B66" s="6">
        <v>4.36E-2</v>
      </c>
      <c r="C66" s="6">
        <v>6.2799999999999995E-2</v>
      </c>
      <c r="D66" s="6">
        <v>0.13300000000000001</v>
      </c>
      <c r="E66" s="6">
        <v>0.1208</v>
      </c>
      <c r="F66" s="6">
        <v>8.72E-2</v>
      </c>
      <c r="G66" s="13">
        <f t="shared" si="0"/>
        <v>8.9480000000000004E-2</v>
      </c>
    </row>
    <row r="67" spans="1:7" ht="17" thickBot="1" x14ac:dyDescent="0.25">
      <c r="A67" s="7" t="s">
        <v>198</v>
      </c>
      <c r="B67" s="8">
        <v>4.3400000000000001E-2</v>
      </c>
      <c r="C67" s="8">
        <v>4.58E-2</v>
      </c>
      <c r="D67" s="8">
        <v>4.24E-2</v>
      </c>
      <c r="E67" s="8">
        <v>7.0400000000000004E-2</v>
      </c>
      <c r="F67" s="8">
        <v>0.1043</v>
      </c>
      <c r="G67" s="13">
        <f t="shared" ref="G67:G130" si="2">AVERAGE(B67:F67)</f>
        <v>6.1260000000000002E-2</v>
      </c>
    </row>
    <row r="68" spans="1:7" ht="17" thickBot="1" x14ac:dyDescent="0.25">
      <c r="A68" s="4" t="s">
        <v>157</v>
      </c>
      <c r="B68" s="6">
        <v>4.2299999999999997E-2</v>
      </c>
      <c r="C68" s="6">
        <v>3.61E-2</v>
      </c>
      <c r="D68" s="6">
        <v>3.5999999999999997E-2</v>
      </c>
      <c r="E68" s="6">
        <v>0</v>
      </c>
      <c r="F68" s="6">
        <v>3.8600000000000002E-2</v>
      </c>
      <c r="G68" s="13">
        <f t="shared" si="2"/>
        <v>3.0599999999999999E-2</v>
      </c>
    </row>
    <row r="69" spans="1:7" ht="33" thickBot="1" x14ac:dyDescent="0.25">
      <c r="A69" s="7" t="s">
        <v>224</v>
      </c>
      <c r="B69" s="8">
        <v>4.19E-2</v>
      </c>
      <c r="C69" s="8">
        <v>4.1399999999999999E-2</v>
      </c>
      <c r="D69" s="8">
        <v>0</v>
      </c>
      <c r="E69" s="8">
        <v>4.1799999999999997E-2</v>
      </c>
      <c r="F69" s="8">
        <v>0</v>
      </c>
      <c r="G69" s="13">
        <f t="shared" si="2"/>
        <v>2.5019999999999997E-2</v>
      </c>
    </row>
    <row r="70" spans="1:7" ht="17" thickBot="1" x14ac:dyDescent="0.25">
      <c r="A70" s="4" t="s">
        <v>203</v>
      </c>
      <c r="B70" s="6">
        <v>4.1700000000000001E-2</v>
      </c>
      <c r="C70" s="6">
        <v>4.07E-2</v>
      </c>
      <c r="D70" s="6">
        <v>5.3400000000000003E-2</v>
      </c>
      <c r="E70" s="6">
        <v>3.5099999999999999E-2</v>
      </c>
      <c r="F70" s="6">
        <v>3.61E-2</v>
      </c>
      <c r="G70" s="13">
        <f t="shared" si="2"/>
        <v>4.1399999999999999E-2</v>
      </c>
    </row>
    <row r="71" spans="1:7" ht="17" thickBot="1" x14ac:dyDescent="0.25">
      <c r="A71" s="7" t="s">
        <v>144</v>
      </c>
      <c r="B71" s="8">
        <v>4.0300000000000002E-2</v>
      </c>
      <c r="C71" s="8">
        <v>4.5400000000000003E-2</v>
      </c>
      <c r="D71" s="8">
        <v>0</v>
      </c>
      <c r="E71" s="8">
        <v>0</v>
      </c>
      <c r="F71" s="8">
        <v>0</v>
      </c>
      <c r="G71" s="13">
        <f t="shared" si="2"/>
        <v>1.7139999999999999E-2</v>
      </c>
    </row>
    <row r="72" spans="1:7" ht="49" thickBot="1" x14ac:dyDescent="0.25">
      <c r="A72" s="4" t="s">
        <v>43</v>
      </c>
      <c r="B72" s="6">
        <v>3.7999999999999999E-2</v>
      </c>
      <c r="C72" s="6">
        <v>3.9E-2</v>
      </c>
      <c r="D72" s="6">
        <v>0</v>
      </c>
      <c r="E72" s="6">
        <v>4.2000000000000003E-2</v>
      </c>
      <c r="F72" s="6">
        <v>4.2000000000000003E-2</v>
      </c>
      <c r="G72" s="13">
        <f t="shared" si="2"/>
        <v>3.2199999999999999E-2</v>
      </c>
    </row>
    <row r="73" spans="1:7" ht="17" thickBot="1" x14ac:dyDescent="0.25">
      <c r="A73" s="7" t="s">
        <v>135</v>
      </c>
      <c r="B73" s="8">
        <v>3.6200000000000003E-2</v>
      </c>
      <c r="C73" s="8">
        <v>3.5999999999999997E-2</v>
      </c>
      <c r="D73" s="8">
        <v>0</v>
      </c>
      <c r="E73" s="8">
        <v>0</v>
      </c>
      <c r="F73" s="8">
        <v>0</v>
      </c>
      <c r="G73" s="13">
        <f t="shared" si="2"/>
        <v>1.444E-2</v>
      </c>
    </row>
    <row r="74" spans="1:7" ht="17" thickBot="1" x14ac:dyDescent="0.25">
      <c r="A74" s="4" t="s">
        <v>140</v>
      </c>
      <c r="B74" s="6">
        <v>3.61E-2</v>
      </c>
      <c r="C74" s="6">
        <v>3.1099999999999999E-2</v>
      </c>
      <c r="D74" s="6">
        <v>4.0899999999999999E-2</v>
      </c>
      <c r="E74" s="6">
        <v>0</v>
      </c>
      <c r="F74" s="6">
        <v>2.2200000000000001E-2</v>
      </c>
      <c r="G74" s="13">
        <f t="shared" si="2"/>
        <v>2.606E-2</v>
      </c>
    </row>
    <row r="75" spans="1:7" ht="49" thickBot="1" x14ac:dyDescent="0.25">
      <c r="A75" s="7" t="s">
        <v>279</v>
      </c>
      <c r="B75" s="8">
        <v>3.5799999999999998E-2</v>
      </c>
      <c r="C75" s="8">
        <v>3.6299999999999999E-2</v>
      </c>
      <c r="D75" s="8">
        <v>7.7499999999999999E-2</v>
      </c>
      <c r="E75" s="8">
        <v>4.58E-2</v>
      </c>
      <c r="F75" s="8">
        <v>0</v>
      </c>
      <c r="G75" s="13">
        <f t="shared" si="2"/>
        <v>3.9080000000000004E-2</v>
      </c>
    </row>
    <row r="76" spans="1:7" ht="17" thickBot="1" x14ac:dyDescent="0.25">
      <c r="A76" s="4" t="s">
        <v>85</v>
      </c>
      <c r="B76" s="6">
        <v>3.5299999999999998E-2</v>
      </c>
      <c r="C76" s="6">
        <v>3.5499999999999997E-2</v>
      </c>
      <c r="D76" s="6">
        <v>3.4700000000000002E-2</v>
      </c>
      <c r="E76" s="6">
        <v>3.6799999999999999E-2</v>
      </c>
      <c r="F76" s="6">
        <v>4.2200000000000001E-2</v>
      </c>
      <c r="G76" s="13">
        <f t="shared" si="2"/>
        <v>3.6900000000000002E-2</v>
      </c>
    </row>
    <row r="77" spans="1:7" ht="17" thickBot="1" x14ac:dyDescent="0.25">
      <c r="A77" s="7" t="s">
        <v>228</v>
      </c>
      <c r="B77" s="8">
        <v>3.3500000000000002E-2</v>
      </c>
      <c r="C77" s="8">
        <v>3.3099999999999997E-2</v>
      </c>
      <c r="D77" s="8">
        <v>3.3500000000000002E-2</v>
      </c>
      <c r="E77" s="8">
        <v>3.3599999999999998E-2</v>
      </c>
      <c r="F77" s="8">
        <v>1.43E-2</v>
      </c>
      <c r="G77" s="13">
        <f t="shared" si="2"/>
        <v>2.9599999999999998E-2</v>
      </c>
    </row>
    <row r="78" spans="1:7" ht="17" thickBot="1" x14ac:dyDescent="0.25">
      <c r="A78" s="4" t="s">
        <v>232</v>
      </c>
      <c r="B78" s="6">
        <v>3.3300000000000003E-2</v>
      </c>
      <c r="C78" s="6">
        <v>6.6000000000000003E-2</v>
      </c>
      <c r="D78" s="6">
        <v>4.1300000000000003E-2</v>
      </c>
      <c r="E78" s="6">
        <v>0</v>
      </c>
      <c r="F78" s="6">
        <v>0</v>
      </c>
      <c r="G78" s="13">
        <f t="shared" si="2"/>
        <v>2.8119999999999999E-2</v>
      </c>
    </row>
    <row r="79" spans="1:7" ht="17" thickBot="1" x14ac:dyDescent="0.25">
      <c r="A79" s="7" t="s">
        <v>187</v>
      </c>
      <c r="B79" s="8">
        <v>3.2199999999999999E-2</v>
      </c>
      <c r="C79" s="8">
        <v>2.8500000000000001E-2</v>
      </c>
      <c r="D79" s="8">
        <v>3.1300000000000001E-2</v>
      </c>
      <c r="E79" s="8">
        <v>2.5000000000000001E-2</v>
      </c>
      <c r="F79" s="8">
        <v>3.4500000000000003E-2</v>
      </c>
      <c r="G79" s="13">
        <f t="shared" si="2"/>
        <v>3.0300000000000001E-2</v>
      </c>
    </row>
    <row r="80" spans="1:7" ht="33" thickBot="1" x14ac:dyDescent="0.25">
      <c r="A80" s="4" t="s">
        <v>139</v>
      </c>
      <c r="B80" s="6">
        <v>3.1899999999999998E-2</v>
      </c>
      <c r="C80" s="6">
        <v>2.5899999999999999E-2</v>
      </c>
      <c r="D80" s="6">
        <v>9.9000000000000008E-3</v>
      </c>
      <c r="E80" s="6">
        <v>2.8400000000000002E-2</v>
      </c>
      <c r="F80" s="6">
        <v>3.0700000000000002E-2</v>
      </c>
      <c r="G80" s="13">
        <f t="shared" si="2"/>
        <v>2.5360000000000001E-2</v>
      </c>
    </row>
    <row r="81" spans="1:7" ht="17" thickBot="1" x14ac:dyDescent="0.25">
      <c r="A81" s="7" t="s">
        <v>136</v>
      </c>
      <c r="B81" s="8">
        <v>3.15E-2</v>
      </c>
      <c r="C81" s="8">
        <v>0</v>
      </c>
      <c r="D81" s="8">
        <v>0</v>
      </c>
      <c r="E81" s="8">
        <v>0</v>
      </c>
      <c r="F81" s="8">
        <v>0</v>
      </c>
      <c r="G81" s="13">
        <f t="shared" si="2"/>
        <v>6.3E-3</v>
      </c>
    </row>
    <row r="82" spans="1:7" ht="33" thickBot="1" x14ac:dyDescent="0.25">
      <c r="A82" s="4" t="s">
        <v>220</v>
      </c>
      <c r="B82" s="6">
        <v>3.0099999999999998E-2</v>
      </c>
      <c r="C82" s="6">
        <v>2.3300000000000001E-2</v>
      </c>
      <c r="D82" s="6">
        <v>3.09E-2</v>
      </c>
      <c r="E82" s="6">
        <v>2.92E-2</v>
      </c>
      <c r="F82" s="6">
        <v>2.93E-2</v>
      </c>
      <c r="G82" s="13">
        <f t="shared" si="2"/>
        <v>2.8560000000000002E-2</v>
      </c>
    </row>
    <row r="83" spans="1:7" ht="17" thickBot="1" x14ac:dyDescent="0.25">
      <c r="A83" s="7" t="s">
        <v>175</v>
      </c>
      <c r="B83" s="8">
        <v>0.03</v>
      </c>
      <c r="C83" s="8">
        <v>2.8000000000000001E-2</v>
      </c>
      <c r="D83" s="8">
        <v>2.6200000000000001E-2</v>
      </c>
      <c r="E83" s="8">
        <v>3.2000000000000001E-2</v>
      </c>
      <c r="F83" s="8">
        <v>3.1300000000000001E-2</v>
      </c>
      <c r="G83" s="13">
        <f t="shared" si="2"/>
        <v>2.9499999999999998E-2</v>
      </c>
    </row>
    <row r="84" spans="1:7" ht="17" thickBot="1" x14ac:dyDescent="0.25">
      <c r="A84" s="4" t="s">
        <v>81</v>
      </c>
      <c r="B84" s="6">
        <v>2.8799999999999999E-2</v>
      </c>
      <c r="C84" s="6">
        <v>0</v>
      </c>
      <c r="D84" s="6">
        <v>0</v>
      </c>
      <c r="E84" s="6">
        <v>0</v>
      </c>
      <c r="F84" s="6">
        <v>1.8499999999999999E-2</v>
      </c>
      <c r="G84" s="13">
        <f t="shared" si="2"/>
        <v>9.4599999999999997E-3</v>
      </c>
    </row>
    <row r="85" spans="1:7" ht="17" thickBot="1" x14ac:dyDescent="0.25">
      <c r="A85" s="7" t="s">
        <v>48</v>
      </c>
      <c r="B85" s="8">
        <v>2.8500000000000001E-2</v>
      </c>
      <c r="C85" s="8">
        <v>3.3099999999999997E-2</v>
      </c>
      <c r="D85" s="8">
        <v>0</v>
      </c>
      <c r="E85" s="8">
        <v>3.4099999999999998E-2</v>
      </c>
      <c r="F85" s="8">
        <v>0</v>
      </c>
      <c r="G85" s="13">
        <f t="shared" si="2"/>
        <v>1.9140000000000001E-2</v>
      </c>
    </row>
    <row r="86" spans="1:7" ht="17" thickBot="1" x14ac:dyDescent="0.25">
      <c r="A86" s="4" t="s">
        <v>237</v>
      </c>
      <c r="B86" s="6">
        <v>2.8500000000000001E-2</v>
      </c>
      <c r="C86" s="6">
        <v>3.0099999999999998E-2</v>
      </c>
      <c r="D86" s="6">
        <v>4.5100000000000001E-2</v>
      </c>
      <c r="E86" s="6">
        <v>4.7699999999999999E-2</v>
      </c>
      <c r="F86" s="6">
        <v>4.3400000000000001E-2</v>
      </c>
      <c r="G86" s="13">
        <f t="shared" si="2"/>
        <v>3.8960000000000002E-2</v>
      </c>
    </row>
    <row r="87" spans="1:7" ht="17" thickBot="1" x14ac:dyDescent="0.25">
      <c r="A87" s="7" t="s">
        <v>153</v>
      </c>
      <c r="B87" s="8">
        <v>2.8000000000000001E-2</v>
      </c>
      <c r="C87" s="8">
        <v>2.86E-2</v>
      </c>
      <c r="D87" s="8">
        <v>0.1789</v>
      </c>
      <c r="E87" s="8">
        <v>2.76E-2</v>
      </c>
      <c r="F87" s="8">
        <v>2.53E-2</v>
      </c>
      <c r="G87" s="13">
        <f t="shared" si="2"/>
        <v>5.7679999999999995E-2</v>
      </c>
    </row>
    <row r="88" spans="1:7" ht="17" thickBot="1" x14ac:dyDescent="0.25">
      <c r="A88" s="4" t="s">
        <v>225</v>
      </c>
      <c r="B88" s="6">
        <v>2.63E-2</v>
      </c>
      <c r="C88" s="6">
        <v>3.2800000000000003E-2</v>
      </c>
      <c r="D88" s="6">
        <v>3.9399999999999998E-2</v>
      </c>
      <c r="E88" s="6">
        <v>4.3999999999999997E-2</v>
      </c>
      <c r="F88" s="6">
        <v>4.7500000000000001E-2</v>
      </c>
      <c r="G88" s="13">
        <f t="shared" si="2"/>
        <v>3.7999999999999999E-2</v>
      </c>
    </row>
    <row r="89" spans="1:7" ht="17" thickBot="1" x14ac:dyDescent="0.25">
      <c r="A89" s="7" t="s">
        <v>56</v>
      </c>
      <c r="B89" s="8">
        <v>2.58E-2</v>
      </c>
      <c r="C89" s="8">
        <v>2.4E-2</v>
      </c>
      <c r="D89" s="8">
        <v>2.92E-2</v>
      </c>
      <c r="E89" s="8">
        <v>3.2800000000000003E-2</v>
      </c>
      <c r="F89" s="8">
        <v>4.3999999999999997E-2</v>
      </c>
      <c r="G89" s="13">
        <f t="shared" si="2"/>
        <v>3.116E-2</v>
      </c>
    </row>
    <row r="90" spans="1:7" ht="33" thickBot="1" x14ac:dyDescent="0.25">
      <c r="A90" s="4" t="s">
        <v>179</v>
      </c>
      <c r="B90" s="6">
        <v>2.5600000000000001E-2</v>
      </c>
      <c r="C90" s="6">
        <v>2.63E-2</v>
      </c>
      <c r="D90" s="6">
        <v>0</v>
      </c>
      <c r="E90" s="6">
        <v>0</v>
      </c>
      <c r="F90" s="6">
        <v>0</v>
      </c>
      <c r="G90" s="13">
        <f t="shared" si="2"/>
        <v>1.038E-2</v>
      </c>
    </row>
    <row r="91" spans="1:7" ht="33" thickBot="1" x14ac:dyDescent="0.25">
      <c r="A91" s="7" t="s">
        <v>244</v>
      </c>
      <c r="B91" s="8">
        <v>2.53E-2</v>
      </c>
      <c r="C91" s="8">
        <v>2.53E-2</v>
      </c>
      <c r="D91" s="8">
        <v>0</v>
      </c>
      <c r="E91" s="8">
        <v>0</v>
      </c>
      <c r="F91" s="8">
        <v>0</v>
      </c>
      <c r="G91" s="13">
        <f t="shared" si="2"/>
        <v>1.0120000000000001E-2</v>
      </c>
    </row>
    <row r="92" spans="1:7" ht="49" thickBot="1" x14ac:dyDescent="0.25">
      <c r="A92" s="4" t="s">
        <v>125</v>
      </c>
      <c r="B92" s="6">
        <v>2.3800000000000002E-2</v>
      </c>
      <c r="C92" s="6">
        <v>1.7399999999999999E-2</v>
      </c>
      <c r="D92" s="6">
        <v>1.9400000000000001E-2</v>
      </c>
      <c r="E92" s="6">
        <v>1.9400000000000001E-2</v>
      </c>
      <c r="F92" s="6">
        <v>1.9199999999999998E-2</v>
      </c>
      <c r="G92" s="13">
        <f t="shared" si="2"/>
        <v>1.984E-2</v>
      </c>
    </row>
    <row r="93" spans="1:7" ht="17" thickBot="1" x14ac:dyDescent="0.25">
      <c r="A93" s="7" t="s">
        <v>184</v>
      </c>
      <c r="B93" s="8">
        <v>2.35E-2</v>
      </c>
      <c r="C93" s="8">
        <v>1.49E-2</v>
      </c>
      <c r="D93" s="8">
        <v>1.5100000000000001E-2</v>
      </c>
      <c r="E93" s="8">
        <v>1.47E-2</v>
      </c>
      <c r="F93" s="8">
        <v>1.52E-2</v>
      </c>
      <c r="G93" s="13">
        <f t="shared" si="2"/>
        <v>1.6680000000000004E-2</v>
      </c>
    </row>
    <row r="94" spans="1:7" ht="17" thickBot="1" x14ac:dyDescent="0.25">
      <c r="A94" s="4" t="s">
        <v>74</v>
      </c>
      <c r="B94" s="6">
        <v>2.3099999999999999E-2</v>
      </c>
      <c r="C94" s="6">
        <v>2.47E-2</v>
      </c>
      <c r="D94" s="6">
        <v>2.53E-2</v>
      </c>
      <c r="E94" s="6">
        <v>3.39E-2</v>
      </c>
      <c r="F94" s="6">
        <v>3.8300000000000001E-2</v>
      </c>
      <c r="G94" s="13">
        <f t="shared" si="2"/>
        <v>2.9059999999999996E-2</v>
      </c>
    </row>
    <row r="95" spans="1:7" ht="17" thickBot="1" x14ac:dyDescent="0.25">
      <c r="A95" s="7" t="s">
        <v>236</v>
      </c>
      <c r="B95" s="8">
        <v>2.3099999999999999E-2</v>
      </c>
      <c r="C95" s="8">
        <v>3.9300000000000002E-2</v>
      </c>
      <c r="D95" s="8">
        <v>0</v>
      </c>
      <c r="E95" s="8">
        <v>0</v>
      </c>
      <c r="F95" s="8">
        <v>4.9799999999999997E-2</v>
      </c>
      <c r="G95" s="13">
        <f t="shared" si="2"/>
        <v>2.2439999999999998E-2</v>
      </c>
    </row>
    <row r="96" spans="1:7" ht="17" thickBot="1" x14ac:dyDescent="0.25">
      <c r="A96" s="4" t="s">
        <v>133</v>
      </c>
      <c r="B96" s="6">
        <v>2.2700000000000001E-2</v>
      </c>
      <c r="C96" s="6">
        <v>1.7600000000000001E-2</v>
      </c>
      <c r="D96" s="6">
        <v>2.8199999999999999E-2</v>
      </c>
      <c r="E96" s="6">
        <v>1.6500000000000001E-2</v>
      </c>
      <c r="F96" s="6">
        <v>1.5100000000000001E-2</v>
      </c>
      <c r="G96" s="13">
        <f t="shared" si="2"/>
        <v>2.0020000000000003E-2</v>
      </c>
    </row>
    <row r="97" spans="1:7" ht="33" thickBot="1" x14ac:dyDescent="0.25">
      <c r="A97" s="7" t="s">
        <v>252</v>
      </c>
      <c r="B97" s="8">
        <v>2.1700000000000001E-2</v>
      </c>
      <c r="C97" s="8">
        <v>1.9599999999999999E-2</v>
      </c>
      <c r="D97" s="8">
        <v>2.3199999999999998E-2</v>
      </c>
      <c r="E97" s="8">
        <v>2.3699999999999999E-2</v>
      </c>
      <c r="F97" s="8">
        <v>2.3900000000000001E-2</v>
      </c>
      <c r="G97" s="13">
        <f t="shared" si="2"/>
        <v>2.2420000000000002E-2</v>
      </c>
    </row>
    <row r="98" spans="1:7" ht="17" thickBot="1" x14ac:dyDescent="0.25">
      <c r="A98" s="4" t="s">
        <v>246</v>
      </c>
      <c r="B98" s="6">
        <v>2.1399999999999999E-2</v>
      </c>
      <c r="C98" s="6">
        <v>2.2700000000000001E-2</v>
      </c>
      <c r="D98" s="6">
        <v>2.3800000000000002E-2</v>
      </c>
      <c r="E98" s="6">
        <v>1.4800000000000001E-2</v>
      </c>
      <c r="F98" s="6">
        <v>6.6E-3</v>
      </c>
      <c r="G98" s="13">
        <f t="shared" si="2"/>
        <v>1.7859999999999997E-2</v>
      </c>
    </row>
    <row r="99" spans="1:7" ht="17" thickBot="1" x14ac:dyDescent="0.25">
      <c r="A99" s="7" t="s">
        <v>235</v>
      </c>
      <c r="B99" s="8">
        <v>2.0899999999999998E-2</v>
      </c>
      <c r="C99" s="8">
        <v>2.0199999999999999E-2</v>
      </c>
      <c r="D99" s="8">
        <v>3.5000000000000003E-2</v>
      </c>
      <c r="E99" s="8">
        <v>4.2799999999999998E-2</v>
      </c>
      <c r="F99" s="8">
        <v>7.8299999999999995E-2</v>
      </c>
      <c r="G99" s="13">
        <f t="shared" si="2"/>
        <v>3.9439999999999996E-2</v>
      </c>
    </row>
    <row r="100" spans="1:7" ht="17" thickBot="1" x14ac:dyDescent="0.25">
      <c r="A100" s="4" t="s">
        <v>239</v>
      </c>
      <c r="B100" s="6">
        <v>0.02</v>
      </c>
      <c r="C100" s="6">
        <v>1.7100000000000001E-2</v>
      </c>
      <c r="D100" s="6">
        <v>1.7100000000000001E-2</v>
      </c>
      <c r="E100" s="6">
        <v>1.7299999999999999E-2</v>
      </c>
      <c r="F100" s="6">
        <v>1.7299999999999999E-2</v>
      </c>
      <c r="G100" s="13">
        <f t="shared" si="2"/>
        <v>1.7759999999999998E-2</v>
      </c>
    </row>
    <row r="101" spans="1:7" ht="17" thickBot="1" x14ac:dyDescent="0.25">
      <c r="A101" s="7" t="s">
        <v>61</v>
      </c>
      <c r="B101" s="8">
        <v>1.9599999999999999E-2</v>
      </c>
      <c r="C101" s="8">
        <v>1.84E-2</v>
      </c>
      <c r="D101" s="8">
        <v>1.8599999999999998E-2</v>
      </c>
      <c r="E101" s="8">
        <v>1.95E-2</v>
      </c>
      <c r="F101" s="8">
        <v>2.3300000000000001E-2</v>
      </c>
      <c r="G101" s="13">
        <f t="shared" si="2"/>
        <v>1.9880000000000002E-2</v>
      </c>
    </row>
    <row r="102" spans="1:7" ht="33" thickBot="1" x14ac:dyDescent="0.25">
      <c r="A102" s="4" t="s">
        <v>44</v>
      </c>
      <c r="B102" s="6">
        <v>1.8800000000000001E-2</v>
      </c>
      <c r="C102" s="6">
        <v>1.9099999999999999E-2</v>
      </c>
      <c r="D102" s="6">
        <v>2.0400000000000001E-2</v>
      </c>
      <c r="E102" s="6">
        <v>1.9400000000000001E-2</v>
      </c>
      <c r="F102" s="6">
        <v>2.07E-2</v>
      </c>
      <c r="G102" s="13">
        <f t="shared" si="2"/>
        <v>1.968E-2</v>
      </c>
    </row>
    <row r="103" spans="1:7" ht="17" thickBot="1" x14ac:dyDescent="0.25">
      <c r="A103" s="7" t="s">
        <v>247</v>
      </c>
      <c r="B103" s="8">
        <v>1.84E-2</v>
      </c>
      <c r="C103" s="8">
        <v>2.2200000000000001E-2</v>
      </c>
      <c r="D103" s="8">
        <v>3.5299999999999998E-2</v>
      </c>
      <c r="E103" s="8">
        <v>2.4500000000000001E-2</v>
      </c>
      <c r="F103" s="8">
        <v>2.5100000000000001E-2</v>
      </c>
      <c r="G103" s="13">
        <f t="shared" si="2"/>
        <v>2.5100000000000001E-2</v>
      </c>
    </row>
    <row r="104" spans="1:7" ht="17" thickBot="1" x14ac:dyDescent="0.25">
      <c r="A104" s="4" t="s">
        <v>80</v>
      </c>
      <c r="B104" s="6">
        <v>1.83E-2</v>
      </c>
      <c r="C104" s="6">
        <v>2.0400000000000001E-2</v>
      </c>
      <c r="D104" s="6">
        <v>0.02</v>
      </c>
      <c r="E104" s="6">
        <v>0.02</v>
      </c>
      <c r="F104" s="6">
        <v>2.06E-2</v>
      </c>
      <c r="G104" s="13">
        <f t="shared" si="2"/>
        <v>1.9859999999999999E-2</v>
      </c>
    </row>
    <row r="105" spans="1:7" ht="33" thickBot="1" x14ac:dyDescent="0.25">
      <c r="A105" s="7" t="s">
        <v>185</v>
      </c>
      <c r="B105" s="8">
        <v>1.7299999999999999E-2</v>
      </c>
      <c r="C105" s="8">
        <v>1.67E-2</v>
      </c>
      <c r="D105" s="8">
        <v>1.6799999999999999E-2</v>
      </c>
      <c r="E105" s="8">
        <v>2.1100000000000001E-2</v>
      </c>
      <c r="F105" s="8">
        <v>1.66E-2</v>
      </c>
      <c r="G105" s="13">
        <f t="shared" si="2"/>
        <v>1.77E-2</v>
      </c>
    </row>
    <row r="106" spans="1:7" ht="33" thickBot="1" x14ac:dyDescent="0.25">
      <c r="A106" s="4" t="s">
        <v>46</v>
      </c>
      <c r="B106" s="6">
        <v>1.72E-2</v>
      </c>
      <c r="C106" s="6">
        <v>1.5900000000000001E-2</v>
      </c>
      <c r="D106" s="6">
        <v>0</v>
      </c>
      <c r="E106" s="6">
        <v>0</v>
      </c>
      <c r="F106" s="6">
        <v>0</v>
      </c>
      <c r="G106" s="13">
        <f t="shared" si="2"/>
        <v>6.6200000000000009E-3</v>
      </c>
    </row>
    <row r="107" spans="1:7" ht="17" thickBot="1" x14ac:dyDescent="0.25">
      <c r="A107" s="7" t="s">
        <v>137</v>
      </c>
      <c r="B107" s="8">
        <v>1.72E-2</v>
      </c>
      <c r="C107" s="8">
        <v>0</v>
      </c>
      <c r="D107" s="8">
        <v>0</v>
      </c>
      <c r="E107" s="8">
        <v>1.44E-2</v>
      </c>
      <c r="F107" s="8">
        <v>1.41E-2</v>
      </c>
      <c r="G107" s="13">
        <f t="shared" si="2"/>
        <v>9.1400000000000006E-3</v>
      </c>
    </row>
    <row r="108" spans="1:7" ht="17" thickBot="1" x14ac:dyDescent="0.25">
      <c r="A108" s="4" t="s">
        <v>176</v>
      </c>
      <c r="B108" s="6">
        <v>1.7100000000000001E-2</v>
      </c>
      <c r="C108" s="6">
        <v>1.67E-2</v>
      </c>
      <c r="D108" s="6">
        <v>5.33E-2</v>
      </c>
      <c r="E108" s="6">
        <v>1.5599999999999999E-2</v>
      </c>
      <c r="F108" s="6">
        <v>1.9E-2</v>
      </c>
      <c r="G108" s="13">
        <f t="shared" si="2"/>
        <v>2.4340000000000001E-2</v>
      </c>
    </row>
    <row r="109" spans="1:7" ht="17" thickBot="1" x14ac:dyDescent="0.25">
      <c r="A109" s="7" t="s">
        <v>169</v>
      </c>
      <c r="B109" s="8">
        <v>1.5100000000000001E-2</v>
      </c>
      <c r="C109" s="8">
        <v>0</v>
      </c>
      <c r="D109" s="8">
        <v>1.5299999999999999E-2</v>
      </c>
      <c r="E109" s="8">
        <v>0</v>
      </c>
      <c r="F109" s="8">
        <v>1.5699999999999999E-2</v>
      </c>
      <c r="G109" s="13">
        <f t="shared" si="2"/>
        <v>9.2200000000000008E-3</v>
      </c>
    </row>
    <row r="110" spans="1:7" ht="33" thickBot="1" x14ac:dyDescent="0.25">
      <c r="A110" s="4" t="s">
        <v>241</v>
      </c>
      <c r="B110" s="6">
        <v>1.47E-2</v>
      </c>
      <c r="C110" s="6">
        <v>1.52E-2</v>
      </c>
      <c r="D110" s="6">
        <v>0.13780000000000001</v>
      </c>
      <c r="E110" s="6">
        <v>1.5900000000000001E-2</v>
      </c>
      <c r="F110" s="6">
        <v>1.66E-2</v>
      </c>
      <c r="G110" s="13">
        <f t="shared" si="2"/>
        <v>4.0040000000000006E-2</v>
      </c>
    </row>
    <row r="111" spans="1:7" ht="17" thickBot="1" x14ac:dyDescent="0.25">
      <c r="A111" s="7" t="s">
        <v>39</v>
      </c>
      <c r="B111" s="8">
        <v>1.43E-2</v>
      </c>
      <c r="C111" s="8">
        <v>1.5100000000000001E-2</v>
      </c>
      <c r="D111" s="8">
        <v>1.6199999999999999E-2</v>
      </c>
      <c r="E111" s="8">
        <v>1.7999999999999999E-2</v>
      </c>
      <c r="F111" s="8">
        <v>0</v>
      </c>
      <c r="G111" s="13">
        <f t="shared" si="2"/>
        <v>1.272E-2</v>
      </c>
    </row>
    <row r="112" spans="1:7" ht="33" thickBot="1" x14ac:dyDescent="0.25">
      <c r="A112" s="4" t="s">
        <v>87</v>
      </c>
      <c r="B112" s="6">
        <v>1.4E-2</v>
      </c>
      <c r="C112" s="6">
        <v>1.3599999999999999E-2</v>
      </c>
      <c r="D112" s="6">
        <v>6.1199999999999997E-2</v>
      </c>
      <c r="E112" s="6">
        <v>1.7000000000000001E-2</v>
      </c>
      <c r="F112" s="6">
        <v>1.6799999999999999E-2</v>
      </c>
      <c r="G112" s="13">
        <f t="shared" si="2"/>
        <v>2.4519999999999997E-2</v>
      </c>
    </row>
    <row r="113" spans="1:7" ht="17" thickBot="1" x14ac:dyDescent="0.25">
      <c r="A113" s="7" t="s">
        <v>72</v>
      </c>
      <c r="B113" s="8">
        <v>1.3899999999999999E-2</v>
      </c>
      <c r="C113" s="8">
        <v>1.4800000000000001E-2</v>
      </c>
      <c r="D113" s="8">
        <v>1.84E-2</v>
      </c>
      <c r="E113" s="8">
        <v>1.83E-2</v>
      </c>
      <c r="F113" s="8">
        <v>1.9599999999999999E-2</v>
      </c>
      <c r="G113" s="13">
        <f t="shared" si="2"/>
        <v>1.6999999999999998E-2</v>
      </c>
    </row>
    <row r="114" spans="1:7" ht="17" thickBot="1" x14ac:dyDescent="0.25">
      <c r="A114" s="4" t="s">
        <v>114</v>
      </c>
      <c r="B114" s="6">
        <v>1.3899999999999999E-2</v>
      </c>
      <c r="C114" s="6">
        <v>1.4800000000000001E-2</v>
      </c>
      <c r="D114" s="6">
        <v>1.84E-2</v>
      </c>
      <c r="E114" s="6">
        <v>1.83E-2</v>
      </c>
      <c r="F114" s="6">
        <v>1.9599999999999999E-2</v>
      </c>
      <c r="G114" s="13">
        <f t="shared" si="2"/>
        <v>1.6999999999999998E-2</v>
      </c>
    </row>
    <row r="115" spans="1:7" ht="33" thickBot="1" x14ac:dyDescent="0.25">
      <c r="A115" s="7" t="s">
        <v>84</v>
      </c>
      <c r="B115" s="8">
        <v>1.3899999999999999E-2</v>
      </c>
      <c r="C115" s="8">
        <v>1.4800000000000001E-2</v>
      </c>
      <c r="D115" s="8">
        <v>1.84E-2</v>
      </c>
      <c r="E115" s="8">
        <v>1.83E-2</v>
      </c>
      <c r="F115" s="8">
        <v>1.9599999999999999E-2</v>
      </c>
      <c r="G115" s="13">
        <f t="shared" si="2"/>
        <v>1.6999999999999998E-2</v>
      </c>
    </row>
    <row r="116" spans="1:7" ht="17" thickBot="1" x14ac:dyDescent="0.25">
      <c r="A116" s="4" t="s">
        <v>123</v>
      </c>
      <c r="B116" s="6">
        <v>1.3899999999999999E-2</v>
      </c>
      <c r="C116" s="6">
        <v>1.4800000000000001E-2</v>
      </c>
      <c r="D116" s="6">
        <v>1.84E-2</v>
      </c>
      <c r="E116" s="6">
        <v>1.83E-2</v>
      </c>
      <c r="F116" s="6">
        <v>1.9599999999999999E-2</v>
      </c>
      <c r="G116" s="13">
        <f t="shared" si="2"/>
        <v>1.6999999999999998E-2</v>
      </c>
    </row>
    <row r="117" spans="1:7" ht="17" thickBot="1" x14ac:dyDescent="0.25">
      <c r="A117" s="7" t="s">
        <v>178</v>
      </c>
      <c r="B117" s="8">
        <v>1.3899999999999999E-2</v>
      </c>
      <c r="C117" s="8">
        <v>1.4800000000000001E-2</v>
      </c>
      <c r="D117" s="8">
        <v>1.84E-2</v>
      </c>
      <c r="E117" s="8">
        <v>1.83E-2</v>
      </c>
      <c r="F117" s="8">
        <v>1.9599999999999999E-2</v>
      </c>
      <c r="G117" s="13">
        <f t="shared" si="2"/>
        <v>1.6999999999999998E-2</v>
      </c>
    </row>
    <row r="118" spans="1:7" ht="33" thickBot="1" x14ac:dyDescent="0.25">
      <c r="A118" s="4" t="s">
        <v>131</v>
      </c>
      <c r="B118" s="6">
        <v>1.3899999999999999E-2</v>
      </c>
      <c r="C118" s="6">
        <v>1.4800000000000001E-2</v>
      </c>
      <c r="D118" s="6">
        <v>1.84E-2</v>
      </c>
      <c r="E118" s="6">
        <v>1.83E-2</v>
      </c>
      <c r="F118" s="6">
        <v>1.9599999999999999E-2</v>
      </c>
      <c r="G118" s="13">
        <f t="shared" si="2"/>
        <v>1.6999999999999998E-2</v>
      </c>
    </row>
    <row r="119" spans="1:7" ht="17" thickBot="1" x14ac:dyDescent="0.25">
      <c r="A119" s="7" t="s">
        <v>147</v>
      </c>
      <c r="B119" s="8">
        <v>1.3899999999999999E-2</v>
      </c>
      <c r="C119" s="8">
        <v>1.4800000000000001E-2</v>
      </c>
      <c r="D119" s="8">
        <v>1.84E-2</v>
      </c>
      <c r="E119" s="8">
        <v>1.83E-2</v>
      </c>
      <c r="F119" s="8">
        <v>1.9599999999999999E-2</v>
      </c>
      <c r="G119" s="13">
        <f t="shared" si="2"/>
        <v>1.6999999999999998E-2</v>
      </c>
    </row>
    <row r="120" spans="1:7" ht="17" thickBot="1" x14ac:dyDescent="0.25">
      <c r="A120" s="4" t="s">
        <v>127</v>
      </c>
      <c r="B120" s="6">
        <v>1.3899999999999999E-2</v>
      </c>
      <c r="C120" s="6">
        <v>1.4800000000000001E-2</v>
      </c>
      <c r="D120" s="6">
        <v>1.84E-2</v>
      </c>
      <c r="E120" s="6">
        <v>1.83E-2</v>
      </c>
      <c r="F120" s="6">
        <v>1.9599999999999999E-2</v>
      </c>
      <c r="G120" s="13">
        <f t="shared" si="2"/>
        <v>1.6999999999999998E-2</v>
      </c>
    </row>
    <row r="121" spans="1:7" ht="17" thickBot="1" x14ac:dyDescent="0.25">
      <c r="A121" s="7" t="s">
        <v>78</v>
      </c>
      <c r="B121" s="8">
        <v>1.3899999999999999E-2</v>
      </c>
      <c r="C121" s="8">
        <v>1.4800000000000001E-2</v>
      </c>
      <c r="D121" s="8">
        <v>1.84E-2</v>
      </c>
      <c r="E121" s="8">
        <v>1.83E-2</v>
      </c>
      <c r="F121" s="8">
        <v>1.9599999999999999E-2</v>
      </c>
      <c r="G121" s="13">
        <f t="shared" si="2"/>
        <v>1.6999999999999998E-2</v>
      </c>
    </row>
    <row r="122" spans="1:7" ht="17" thickBot="1" x14ac:dyDescent="0.25">
      <c r="A122" s="4" t="s">
        <v>128</v>
      </c>
      <c r="B122" s="6">
        <v>1.3899999999999999E-2</v>
      </c>
      <c r="C122" s="6">
        <v>1.4800000000000001E-2</v>
      </c>
      <c r="D122" s="6">
        <v>1.84E-2</v>
      </c>
      <c r="E122" s="6">
        <v>1.83E-2</v>
      </c>
      <c r="F122" s="6">
        <v>1.9599999999999999E-2</v>
      </c>
      <c r="G122" s="13">
        <f t="shared" si="2"/>
        <v>1.6999999999999998E-2</v>
      </c>
    </row>
    <row r="123" spans="1:7" ht="17" thickBot="1" x14ac:dyDescent="0.25">
      <c r="A123" s="7" t="s">
        <v>73</v>
      </c>
      <c r="B123" s="8">
        <v>1.3899999999999999E-2</v>
      </c>
      <c r="C123" s="8">
        <v>1.4800000000000001E-2</v>
      </c>
      <c r="D123" s="8">
        <v>1.84E-2</v>
      </c>
      <c r="E123" s="8">
        <v>1.83E-2</v>
      </c>
      <c r="F123" s="8">
        <v>1.9599999999999999E-2</v>
      </c>
      <c r="G123" s="13">
        <f t="shared" si="2"/>
        <v>1.6999999999999998E-2</v>
      </c>
    </row>
    <row r="124" spans="1:7" ht="17" thickBot="1" x14ac:dyDescent="0.25">
      <c r="A124" s="4" t="s">
        <v>76</v>
      </c>
      <c r="B124" s="6">
        <v>1.3899999999999999E-2</v>
      </c>
      <c r="C124" s="6">
        <v>1.4800000000000001E-2</v>
      </c>
      <c r="D124" s="6">
        <v>1.84E-2</v>
      </c>
      <c r="E124" s="6">
        <v>1.83E-2</v>
      </c>
      <c r="F124" s="6">
        <v>1.9599999999999999E-2</v>
      </c>
      <c r="G124" s="13">
        <f t="shared" si="2"/>
        <v>1.6999999999999998E-2</v>
      </c>
    </row>
    <row r="125" spans="1:7" ht="17" thickBot="1" x14ac:dyDescent="0.25">
      <c r="A125" s="7" t="s">
        <v>145</v>
      </c>
      <c r="B125" s="8">
        <v>1.3899999999999999E-2</v>
      </c>
      <c r="C125" s="8">
        <v>1.4800000000000001E-2</v>
      </c>
      <c r="D125" s="8">
        <v>1.84E-2</v>
      </c>
      <c r="E125" s="8">
        <v>1.83E-2</v>
      </c>
      <c r="F125" s="8">
        <v>1.9599999999999999E-2</v>
      </c>
      <c r="G125" s="13">
        <f t="shared" si="2"/>
        <v>1.6999999999999998E-2</v>
      </c>
    </row>
    <row r="126" spans="1:7" ht="33" thickBot="1" x14ac:dyDescent="0.25">
      <c r="A126" s="4" t="s">
        <v>109</v>
      </c>
      <c r="B126" s="6">
        <v>1.3899999999999999E-2</v>
      </c>
      <c r="C126" s="6">
        <v>1.4800000000000001E-2</v>
      </c>
      <c r="D126" s="6">
        <v>1.84E-2</v>
      </c>
      <c r="E126" s="6">
        <v>1.83E-2</v>
      </c>
      <c r="F126" s="6">
        <v>1.9599999999999999E-2</v>
      </c>
      <c r="G126" s="13">
        <f t="shared" si="2"/>
        <v>1.6999999999999998E-2</v>
      </c>
    </row>
    <row r="127" spans="1:7" ht="33" thickBot="1" x14ac:dyDescent="0.25">
      <c r="A127" s="7" t="s">
        <v>122</v>
      </c>
      <c r="B127" s="8">
        <v>1.3899999999999999E-2</v>
      </c>
      <c r="C127" s="8">
        <v>1.4800000000000001E-2</v>
      </c>
      <c r="D127" s="8">
        <v>1.84E-2</v>
      </c>
      <c r="E127" s="8">
        <v>1.83E-2</v>
      </c>
      <c r="F127" s="8">
        <v>1.9599999999999999E-2</v>
      </c>
      <c r="G127" s="13">
        <f t="shared" si="2"/>
        <v>1.6999999999999998E-2</v>
      </c>
    </row>
    <row r="128" spans="1:7" ht="17" thickBot="1" x14ac:dyDescent="0.25">
      <c r="A128" s="4" t="s">
        <v>82</v>
      </c>
      <c r="B128" s="6">
        <v>1.3899999999999999E-2</v>
      </c>
      <c r="C128" s="6">
        <v>1.4800000000000001E-2</v>
      </c>
      <c r="D128" s="6">
        <v>1.84E-2</v>
      </c>
      <c r="E128" s="6">
        <v>1.83E-2</v>
      </c>
      <c r="F128" s="6">
        <v>1.9599999999999999E-2</v>
      </c>
      <c r="G128" s="13">
        <f t="shared" si="2"/>
        <v>1.6999999999999998E-2</v>
      </c>
    </row>
    <row r="129" spans="1:7" ht="17" thickBot="1" x14ac:dyDescent="0.25">
      <c r="A129" s="7" t="s">
        <v>162</v>
      </c>
      <c r="B129" s="8">
        <v>1.3899999999999999E-2</v>
      </c>
      <c r="C129" s="8">
        <v>1.4800000000000001E-2</v>
      </c>
      <c r="D129" s="8">
        <v>1.84E-2</v>
      </c>
      <c r="E129" s="8">
        <v>1.83E-2</v>
      </c>
      <c r="F129" s="8">
        <v>1.9599999999999999E-2</v>
      </c>
      <c r="G129" s="13">
        <f t="shared" si="2"/>
        <v>1.6999999999999998E-2</v>
      </c>
    </row>
    <row r="130" spans="1:7" ht="17" thickBot="1" x14ac:dyDescent="0.25">
      <c r="A130" s="4" t="s">
        <v>134</v>
      </c>
      <c r="B130" s="6">
        <v>1.3899999999999999E-2</v>
      </c>
      <c r="C130" s="6">
        <v>1.4800000000000001E-2</v>
      </c>
      <c r="D130" s="6">
        <v>1.84E-2</v>
      </c>
      <c r="E130" s="6">
        <v>1.83E-2</v>
      </c>
      <c r="F130" s="6">
        <v>1.9599999999999999E-2</v>
      </c>
      <c r="G130" s="13">
        <f t="shared" si="2"/>
        <v>1.6999999999999998E-2</v>
      </c>
    </row>
    <row r="131" spans="1:7" ht="17" thickBot="1" x14ac:dyDescent="0.25">
      <c r="A131" s="7" t="s">
        <v>124</v>
      </c>
      <c r="B131" s="8">
        <v>1.3899999999999999E-2</v>
      </c>
      <c r="C131" s="8">
        <v>1.4800000000000001E-2</v>
      </c>
      <c r="D131" s="8">
        <v>1.84E-2</v>
      </c>
      <c r="E131" s="8">
        <v>1.83E-2</v>
      </c>
      <c r="F131" s="8">
        <v>1.9599999999999999E-2</v>
      </c>
      <c r="G131" s="13">
        <f t="shared" ref="G131:G180" si="3">AVERAGE(B131:F131)</f>
        <v>1.6999999999999998E-2</v>
      </c>
    </row>
    <row r="132" spans="1:7" ht="17" thickBot="1" x14ac:dyDescent="0.25">
      <c r="A132" s="4" t="s">
        <v>75</v>
      </c>
      <c r="B132" s="6">
        <v>1.3899999999999999E-2</v>
      </c>
      <c r="C132" s="6">
        <v>1.4800000000000001E-2</v>
      </c>
      <c r="D132" s="6">
        <v>1.84E-2</v>
      </c>
      <c r="E132" s="6">
        <v>1.83E-2</v>
      </c>
      <c r="F132" s="6">
        <v>1.9599999999999999E-2</v>
      </c>
      <c r="G132" s="13">
        <f t="shared" si="3"/>
        <v>1.6999999999999998E-2</v>
      </c>
    </row>
    <row r="133" spans="1:7" ht="17" thickBot="1" x14ac:dyDescent="0.25">
      <c r="A133" s="7" t="s">
        <v>77</v>
      </c>
      <c r="B133" s="8">
        <v>1.3899999999999999E-2</v>
      </c>
      <c r="C133" s="8">
        <v>1.4800000000000001E-2</v>
      </c>
      <c r="D133" s="8">
        <v>1.84E-2</v>
      </c>
      <c r="E133" s="8">
        <v>1.83E-2</v>
      </c>
      <c r="F133" s="8">
        <v>1.9599999999999999E-2</v>
      </c>
      <c r="G133" s="13">
        <f t="shared" si="3"/>
        <v>1.6999999999999998E-2</v>
      </c>
    </row>
    <row r="134" spans="1:7" ht="17" thickBot="1" x14ac:dyDescent="0.25">
      <c r="A134" s="4" t="s">
        <v>126</v>
      </c>
      <c r="B134" s="6">
        <v>1.3899999999999999E-2</v>
      </c>
      <c r="C134" s="6">
        <v>1.4800000000000001E-2</v>
      </c>
      <c r="D134" s="6">
        <v>1.84E-2</v>
      </c>
      <c r="E134" s="6">
        <v>1.83E-2</v>
      </c>
      <c r="F134" s="6">
        <v>1.9599999999999999E-2</v>
      </c>
      <c r="G134" s="13">
        <f t="shared" si="3"/>
        <v>1.6999999999999998E-2</v>
      </c>
    </row>
    <row r="135" spans="1:7" ht="17" thickBot="1" x14ac:dyDescent="0.25">
      <c r="A135" s="7" t="s">
        <v>86</v>
      </c>
      <c r="B135" s="8">
        <v>1.3899999999999999E-2</v>
      </c>
      <c r="C135" s="8">
        <v>1.4800000000000001E-2</v>
      </c>
      <c r="D135" s="8">
        <v>1.84E-2</v>
      </c>
      <c r="E135" s="8">
        <v>1.83E-2</v>
      </c>
      <c r="F135" s="8">
        <v>1.9599999999999999E-2</v>
      </c>
      <c r="G135" s="13">
        <f t="shared" si="3"/>
        <v>1.6999999999999998E-2</v>
      </c>
    </row>
    <row r="136" spans="1:7" ht="17" thickBot="1" x14ac:dyDescent="0.25">
      <c r="A136" s="4" t="s">
        <v>112</v>
      </c>
      <c r="B136" s="6">
        <v>1.3899999999999999E-2</v>
      </c>
      <c r="C136" s="6">
        <v>1.4800000000000001E-2</v>
      </c>
      <c r="D136" s="6">
        <v>1.84E-2</v>
      </c>
      <c r="E136" s="6">
        <v>1.83E-2</v>
      </c>
      <c r="F136" s="6">
        <v>1.9599999999999999E-2</v>
      </c>
      <c r="G136" s="13">
        <f t="shared" si="3"/>
        <v>1.6999999999999998E-2</v>
      </c>
    </row>
    <row r="137" spans="1:7" ht="17" thickBot="1" x14ac:dyDescent="0.25">
      <c r="A137" s="7" t="s">
        <v>160</v>
      </c>
      <c r="B137" s="8">
        <v>1.3899999999999999E-2</v>
      </c>
      <c r="C137" s="8">
        <v>1.4800000000000001E-2</v>
      </c>
      <c r="D137" s="8">
        <v>1.84E-2</v>
      </c>
      <c r="E137" s="8">
        <v>1.83E-2</v>
      </c>
      <c r="F137" s="8">
        <v>1.9599999999999999E-2</v>
      </c>
      <c r="G137" s="13">
        <f t="shared" si="3"/>
        <v>1.6999999999999998E-2</v>
      </c>
    </row>
    <row r="138" spans="1:7" ht="17" thickBot="1" x14ac:dyDescent="0.25">
      <c r="A138" s="4" t="s">
        <v>141</v>
      </c>
      <c r="B138" s="6">
        <v>1.3899999999999999E-2</v>
      </c>
      <c r="C138" s="6">
        <v>1.4800000000000001E-2</v>
      </c>
      <c r="D138" s="6">
        <v>1.84E-2</v>
      </c>
      <c r="E138" s="6">
        <v>1.83E-2</v>
      </c>
      <c r="F138" s="6">
        <v>1.9599999999999999E-2</v>
      </c>
      <c r="G138" s="13">
        <f t="shared" si="3"/>
        <v>1.6999999999999998E-2</v>
      </c>
    </row>
    <row r="139" spans="1:7" ht="17" thickBot="1" x14ac:dyDescent="0.25">
      <c r="A139" s="7" t="s">
        <v>173</v>
      </c>
      <c r="B139" s="8">
        <v>1.3899999999999999E-2</v>
      </c>
      <c r="C139" s="8">
        <v>1.4800000000000001E-2</v>
      </c>
      <c r="D139" s="8">
        <v>1.84E-2</v>
      </c>
      <c r="E139" s="8">
        <v>1.83E-2</v>
      </c>
      <c r="F139" s="8">
        <v>1.9599999999999999E-2</v>
      </c>
      <c r="G139" s="13">
        <f t="shared" si="3"/>
        <v>1.6999999999999998E-2</v>
      </c>
    </row>
    <row r="140" spans="1:7" ht="17" thickBot="1" x14ac:dyDescent="0.25">
      <c r="A140" s="4" t="s">
        <v>146</v>
      </c>
      <c r="B140" s="6">
        <v>1.32E-2</v>
      </c>
      <c r="C140" s="6">
        <v>1.26E-2</v>
      </c>
      <c r="D140" s="6">
        <v>1.0999999999999999E-2</v>
      </c>
      <c r="E140" s="6">
        <v>0.01</v>
      </c>
      <c r="F140" s="6">
        <v>9.1000000000000004E-3</v>
      </c>
      <c r="G140" s="13">
        <f t="shared" si="3"/>
        <v>1.1180000000000001E-2</v>
      </c>
    </row>
    <row r="141" spans="1:7" ht="17" thickBot="1" x14ac:dyDescent="0.25">
      <c r="A141" s="7" t="s">
        <v>149</v>
      </c>
      <c r="B141" s="8">
        <v>1.2699999999999999E-2</v>
      </c>
      <c r="C141" s="8">
        <v>9.1999999999999998E-3</v>
      </c>
      <c r="D141" s="8">
        <v>1.0999999999999999E-2</v>
      </c>
      <c r="E141" s="8">
        <v>8.0999999999999996E-3</v>
      </c>
      <c r="F141" s="8">
        <v>8.6999999999999994E-3</v>
      </c>
      <c r="G141" s="13">
        <f t="shared" si="3"/>
        <v>9.9399999999999992E-3</v>
      </c>
    </row>
    <row r="142" spans="1:7" ht="17" thickBot="1" x14ac:dyDescent="0.25">
      <c r="A142" s="4" t="s">
        <v>158</v>
      </c>
      <c r="B142" s="6">
        <v>1.2E-2</v>
      </c>
      <c r="C142" s="6">
        <v>1.26E-2</v>
      </c>
      <c r="D142" s="6">
        <v>0</v>
      </c>
      <c r="E142" s="6">
        <v>0</v>
      </c>
      <c r="F142" s="6">
        <v>0</v>
      </c>
      <c r="G142" s="13">
        <f t="shared" si="3"/>
        <v>4.9199999999999999E-3</v>
      </c>
    </row>
    <row r="143" spans="1:7" ht="17" thickBot="1" x14ac:dyDescent="0.25">
      <c r="A143" s="7" t="s">
        <v>226</v>
      </c>
      <c r="B143" s="8">
        <v>1.17E-2</v>
      </c>
      <c r="C143" s="8">
        <v>1.34E-2</v>
      </c>
      <c r="D143" s="8">
        <v>1.66E-2</v>
      </c>
      <c r="E143" s="8">
        <v>4.3900000000000002E-2</v>
      </c>
      <c r="F143" s="8">
        <v>2.69E-2</v>
      </c>
      <c r="G143" s="13">
        <f t="shared" si="3"/>
        <v>2.2500000000000003E-2</v>
      </c>
    </row>
    <row r="144" spans="1:7" ht="17" thickBot="1" x14ac:dyDescent="0.25">
      <c r="A144" s="4" t="s">
        <v>171</v>
      </c>
      <c r="B144" s="6">
        <v>1.1299999999999999E-2</v>
      </c>
      <c r="C144" s="6">
        <v>1.0999999999999999E-2</v>
      </c>
      <c r="D144" s="6">
        <v>1.0200000000000001E-2</v>
      </c>
      <c r="E144" s="6">
        <v>1.0200000000000001E-2</v>
      </c>
      <c r="F144" s="6">
        <v>8.5000000000000006E-3</v>
      </c>
      <c r="G144" s="13">
        <f t="shared" si="3"/>
        <v>1.0240000000000001E-2</v>
      </c>
    </row>
    <row r="145" spans="1:7" ht="17" thickBot="1" x14ac:dyDescent="0.25">
      <c r="A145" s="7" t="s">
        <v>280</v>
      </c>
      <c r="B145" s="8">
        <v>1.12E-2</v>
      </c>
      <c r="C145" s="8">
        <v>9.7000000000000003E-3</v>
      </c>
      <c r="D145" s="8">
        <v>7.6E-3</v>
      </c>
      <c r="E145" s="8">
        <v>7.3000000000000001E-3</v>
      </c>
      <c r="F145" s="8">
        <v>1.4800000000000001E-2</v>
      </c>
      <c r="G145" s="13">
        <f t="shared" si="3"/>
        <v>1.0120000000000001E-2</v>
      </c>
    </row>
    <row r="146" spans="1:7" ht="33" thickBot="1" x14ac:dyDescent="0.25">
      <c r="A146" s="4" t="s">
        <v>121</v>
      </c>
      <c r="B146" s="6">
        <v>1.0699999999999999E-2</v>
      </c>
      <c r="C146" s="6">
        <v>1.47E-2</v>
      </c>
      <c r="D146" s="6">
        <v>0.20280000000000001</v>
      </c>
      <c r="E146" s="6">
        <v>2.0899999999999998E-2</v>
      </c>
      <c r="F146" s="6">
        <v>3.6999999999999998E-2</v>
      </c>
      <c r="G146" s="13">
        <f t="shared" si="3"/>
        <v>5.7220000000000007E-2</v>
      </c>
    </row>
    <row r="147" spans="1:7" ht="17" thickBot="1" x14ac:dyDescent="0.25">
      <c r="A147" s="7" t="s">
        <v>281</v>
      </c>
      <c r="B147" s="8">
        <v>1.04E-2</v>
      </c>
      <c r="C147" s="8">
        <v>0</v>
      </c>
      <c r="D147" s="8">
        <v>1.8100000000000002E-2</v>
      </c>
      <c r="E147" s="8">
        <v>0</v>
      </c>
      <c r="F147" s="8">
        <v>0</v>
      </c>
      <c r="G147" s="13">
        <f t="shared" si="3"/>
        <v>5.7000000000000002E-3</v>
      </c>
    </row>
    <row r="148" spans="1:7" ht="17" thickBot="1" x14ac:dyDescent="0.25">
      <c r="A148" s="4" t="s">
        <v>186</v>
      </c>
      <c r="B148" s="6">
        <v>9.4999999999999998E-3</v>
      </c>
      <c r="C148" s="6">
        <v>8.0000000000000002E-3</v>
      </c>
      <c r="D148" s="6">
        <v>9.5999999999999992E-3</v>
      </c>
      <c r="E148" s="6">
        <v>3.3E-3</v>
      </c>
      <c r="F148" s="6">
        <v>1.12E-2</v>
      </c>
      <c r="G148" s="13">
        <f t="shared" si="3"/>
        <v>8.3199999999999993E-3</v>
      </c>
    </row>
    <row r="149" spans="1:7" ht="33" thickBot="1" x14ac:dyDescent="0.25">
      <c r="A149" s="7" t="s">
        <v>234</v>
      </c>
      <c r="B149" s="8">
        <v>8.6E-3</v>
      </c>
      <c r="C149" s="8">
        <v>8.5000000000000006E-3</v>
      </c>
      <c r="D149" s="8">
        <v>9.1000000000000004E-3</v>
      </c>
      <c r="E149" s="8">
        <v>0</v>
      </c>
      <c r="F149" s="8">
        <v>1.35E-2</v>
      </c>
      <c r="G149" s="13">
        <f t="shared" si="3"/>
        <v>7.9399999999999991E-3</v>
      </c>
    </row>
    <row r="150" spans="1:7" ht="17" thickBot="1" x14ac:dyDescent="0.25">
      <c r="A150" s="4" t="s">
        <v>197</v>
      </c>
      <c r="B150" s="6">
        <v>8.0999999999999996E-3</v>
      </c>
      <c r="C150" s="6">
        <v>7.1000000000000004E-3</v>
      </c>
      <c r="D150" s="6">
        <v>7.7000000000000002E-3</v>
      </c>
      <c r="E150" s="6">
        <v>8.6E-3</v>
      </c>
      <c r="F150" s="6">
        <v>8.8999999999999999E-3</v>
      </c>
      <c r="G150" s="13">
        <f t="shared" si="3"/>
        <v>8.0800000000000004E-3</v>
      </c>
    </row>
    <row r="151" spans="1:7" ht="33" thickBot="1" x14ac:dyDescent="0.25">
      <c r="A151" s="7" t="s">
        <v>90</v>
      </c>
      <c r="B151" s="8">
        <v>7.1999999999999998E-3</v>
      </c>
      <c r="C151" s="8">
        <v>1.2800000000000001E-2</v>
      </c>
      <c r="D151" s="8">
        <v>1.72E-2</v>
      </c>
      <c r="E151" s="8">
        <v>1.9199999999999998E-2</v>
      </c>
      <c r="F151" s="8">
        <v>1.9900000000000001E-2</v>
      </c>
      <c r="G151" s="13">
        <f t="shared" si="3"/>
        <v>1.5259999999999999E-2</v>
      </c>
    </row>
    <row r="152" spans="1:7" ht="17" thickBot="1" x14ac:dyDescent="0.25">
      <c r="A152" s="4" t="s">
        <v>64</v>
      </c>
      <c r="B152" s="6">
        <v>6.4999999999999997E-3</v>
      </c>
      <c r="C152" s="6">
        <v>6.6E-3</v>
      </c>
      <c r="D152" s="6">
        <v>7.3000000000000001E-3</v>
      </c>
      <c r="E152" s="6">
        <v>7.1000000000000004E-3</v>
      </c>
      <c r="F152" s="6">
        <v>8.0000000000000002E-3</v>
      </c>
      <c r="G152" s="13">
        <f t="shared" si="3"/>
        <v>7.1000000000000004E-3</v>
      </c>
    </row>
    <row r="153" spans="1:7" ht="17" thickBot="1" x14ac:dyDescent="0.25">
      <c r="A153" s="7" t="s">
        <v>55</v>
      </c>
      <c r="B153" s="8">
        <v>4.3E-3</v>
      </c>
      <c r="C153" s="8">
        <v>4.3E-3</v>
      </c>
      <c r="D153" s="8">
        <v>4.3E-3</v>
      </c>
      <c r="E153" s="8">
        <v>4.8999999999999998E-3</v>
      </c>
      <c r="F153" s="8">
        <v>4.8999999999999998E-3</v>
      </c>
      <c r="G153" s="13">
        <f t="shared" si="3"/>
        <v>4.5399999999999998E-3</v>
      </c>
    </row>
    <row r="154" spans="1:7" ht="17" thickBot="1" x14ac:dyDescent="0.25">
      <c r="A154" s="4" t="s">
        <v>151</v>
      </c>
      <c r="B154" s="6">
        <v>3.3999999999999998E-3</v>
      </c>
      <c r="C154" s="6">
        <v>2.0999999999999999E-3</v>
      </c>
      <c r="D154" s="6">
        <v>0</v>
      </c>
      <c r="E154" s="6">
        <v>0</v>
      </c>
      <c r="F154" s="6">
        <v>0</v>
      </c>
      <c r="G154" s="13">
        <f t="shared" si="3"/>
        <v>1.0999999999999998E-3</v>
      </c>
    </row>
    <row r="155" spans="1:7" ht="17" thickBot="1" x14ac:dyDescent="0.25">
      <c r="A155" s="7" t="s">
        <v>132</v>
      </c>
      <c r="B155" s="8">
        <v>2.0000000000000001E-4</v>
      </c>
      <c r="C155" s="8">
        <v>2.0000000000000001E-4</v>
      </c>
      <c r="D155" s="8">
        <v>2.0000000000000001E-4</v>
      </c>
      <c r="E155" s="8">
        <v>2.9999999999999997E-4</v>
      </c>
      <c r="F155" s="8">
        <v>2.9999999999999997E-4</v>
      </c>
      <c r="G155" s="13">
        <f t="shared" si="3"/>
        <v>2.3999999999999998E-4</v>
      </c>
    </row>
    <row r="156" spans="1:7" ht="17" thickBot="1" x14ac:dyDescent="0.25">
      <c r="A156" s="4" t="s">
        <v>217</v>
      </c>
      <c r="B156" s="6">
        <v>0</v>
      </c>
      <c r="C156" s="6">
        <v>0</v>
      </c>
      <c r="D156" s="6">
        <v>0</v>
      </c>
      <c r="E156" s="6">
        <v>0</v>
      </c>
      <c r="F156" s="6">
        <v>0.1401</v>
      </c>
      <c r="G156" s="13">
        <f t="shared" si="3"/>
        <v>2.802E-2</v>
      </c>
    </row>
    <row r="157" spans="1:7" ht="17" thickBot="1" x14ac:dyDescent="0.25">
      <c r="A157" s="7" t="s">
        <v>113</v>
      </c>
      <c r="B157" s="8">
        <v>0</v>
      </c>
      <c r="C157" s="8">
        <v>5.0000000000000001E-4</v>
      </c>
      <c r="D157" s="8">
        <v>3.8999999999999998E-3</v>
      </c>
      <c r="E157" s="8">
        <v>2.3999999999999998E-3</v>
      </c>
      <c r="F157" s="8">
        <v>6.9999999999999999E-4</v>
      </c>
      <c r="G157" s="13">
        <f t="shared" si="3"/>
        <v>1.4999999999999998E-3</v>
      </c>
    </row>
    <row r="158" spans="1:7" ht="17" thickBot="1" x14ac:dyDescent="0.25">
      <c r="A158" s="4" t="s">
        <v>68</v>
      </c>
      <c r="B158" s="6">
        <v>0</v>
      </c>
      <c r="C158" s="6">
        <v>9.0800000000000006E-2</v>
      </c>
      <c r="D158" s="6">
        <v>0.16700000000000001</v>
      </c>
      <c r="E158" s="6">
        <v>0</v>
      </c>
      <c r="F158" s="6">
        <v>0</v>
      </c>
      <c r="G158" s="13">
        <f t="shared" si="3"/>
        <v>5.1560000000000009E-2</v>
      </c>
    </row>
    <row r="159" spans="1:7" ht="49" thickBot="1" x14ac:dyDescent="0.25">
      <c r="A159" s="7" t="s">
        <v>219</v>
      </c>
      <c r="B159" s="8">
        <v>0</v>
      </c>
      <c r="C159" s="8">
        <v>9.2100000000000001E-2</v>
      </c>
      <c r="D159" s="8">
        <v>0</v>
      </c>
      <c r="E159" s="8">
        <v>0</v>
      </c>
      <c r="F159" s="8">
        <v>0</v>
      </c>
      <c r="G159" s="13">
        <f t="shared" si="3"/>
        <v>1.8419999999999999E-2</v>
      </c>
    </row>
    <row r="160" spans="1:7" ht="17" thickBot="1" x14ac:dyDescent="0.25">
      <c r="A160" s="4" t="s">
        <v>195</v>
      </c>
      <c r="B160" s="6">
        <v>0</v>
      </c>
      <c r="C160" s="6">
        <v>0.12089999999999999</v>
      </c>
      <c r="D160" s="6">
        <v>0.15429999999999999</v>
      </c>
      <c r="E160" s="6">
        <v>0</v>
      </c>
      <c r="F160" s="6">
        <v>0</v>
      </c>
      <c r="G160" s="13">
        <f t="shared" si="3"/>
        <v>5.5039999999999999E-2</v>
      </c>
    </row>
    <row r="161" spans="1:7" ht="17" thickBot="1" x14ac:dyDescent="0.25">
      <c r="A161" s="7" t="s">
        <v>282</v>
      </c>
      <c r="B161" s="8">
        <v>0</v>
      </c>
      <c r="C161" s="8">
        <v>0</v>
      </c>
      <c r="D161" s="8">
        <v>0</v>
      </c>
      <c r="E161" s="8">
        <v>0</v>
      </c>
      <c r="F161" s="8">
        <v>2.4299999999999999E-2</v>
      </c>
      <c r="G161" s="13">
        <f t="shared" si="3"/>
        <v>4.8599999999999997E-3</v>
      </c>
    </row>
    <row r="162" spans="1:7" ht="33" thickBot="1" x14ac:dyDescent="0.25">
      <c r="A162" s="4" t="s">
        <v>207</v>
      </c>
      <c r="B162" s="6">
        <v>0</v>
      </c>
      <c r="C162" s="6">
        <v>0</v>
      </c>
      <c r="D162" s="6">
        <v>0.15459999999999999</v>
      </c>
      <c r="E162" s="6">
        <v>0</v>
      </c>
      <c r="F162" s="6">
        <v>0</v>
      </c>
      <c r="G162" s="13">
        <f t="shared" si="3"/>
        <v>3.0919999999999996E-2</v>
      </c>
    </row>
    <row r="163" spans="1:7" ht="33" thickBot="1" x14ac:dyDescent="0.25">
      <c r="A163" s="7" t="s">
        <v>193</v>
      </c>
      <c r="B163" s="8">
        <v>0</v>
      </c>
      <c r="C163" s="8">
        <v>4.2299999999999997E-2</v>
      </c>
      <c r="D163" s="8">
        <v>0</v>
      </c>
      <c r="E163" s="8">
        <v>0</v>
      </c>
      <c r="F163" s="8">
        <v>4.8500000000000001E-2</v>
      </c>
      <c r="G163" s="13">
        <f t="shared" si="3"/>
        <v>1.8159999999999999E-2</v>
      </c>
    </row>
    <row r="164" spans="1:7" ht="49" thickBot="1" x14ac:dyDescent="0.25">
      <c r="A164" s="4" t="s">
        <v>165</v>
      </c>
      <c r="B164" s="6">
        <v>0</v>
      </c>
      <c r="C164" s="6">
        <v>8.4000000000000005E-2</v>
      </c>
      <c r="D164" s="6">
        <v>0.10829999999999999</v>
      </c>
      <c r="E164" s="6">
        <v>0</v>
      </c>
      <c r="F164" s="6">
        <v>0</v>
      </c>
      <c r="G164" s="13">
        <f t="shared" si="3"/>
        <v>3.8460000000000001E-2</v>
      </c>
    </row>
    <row r="165" spans="1:7" ht="49" thickBot="1" x14ac:dyDescent="0.25">
      <c r="A165" s="7" t="s">
        <v>283</v>
      </c>
      <c r="B165" s="8">
        <v>0</v>
      </c>
      <c r="C165" s="8">
        <v>0</v>
      </c>
      <c r="D165" s="8">
        <v>9.9699999999999997E-2</v>
      </c>
      <c r="E165" s="8">
        <v>9.4600000000000004E-2</v>
      </c>
      <c r="F165" s="8">
        <v>0</v>
      </c>
      <c r="G165" s="13">
        <f t="shared" si="3"/>
        <v>3.8859999999999999E-2</v>
      </c>
    </row>
    <row r="166" spans="1:7" ht="17" thickBot="1" x14ac:dyDescent="0.25">
      <c r="A166" s="4" t="s">
        <v>59</v>
      </c>
      <c r="B166" s="6">
        <v>0</v>
      </c>
      <c r="C166" s="6">
        <v>0</v>
      </c>
      <c r="D166" s="6">
        <v>0</v>
      </c>
      <c r="E166" s="6">
        <v>1.21E-2</v>
      </c>
      <c r="F166" s="6">
        <v>1.24E-2</v>
      </c>
      <c r="G166" s="13">
        <f t="shared" si="3"/>
        <v>4.8999999999999998E-3</v>
      </c>
    </row>
    <row r="167" spans="1:7" ht="33" thickBot="1" x14ac:dyDescent="0.25">
      <c r="A167" s="7" t="s">
        <v>284</v>
      </c>
      <c r="B167" s="8">
        <v>0</v>
      </c>
      <c r="C167" s="8">
        <v>8.8400000000000006E-2</v>
      </c>
      <c r="D167" s="8">
        <v>0.2109</v>
      </c>
      <c r="E167" s="8">
        <v>0.21060000000000001</v>
      </c>
      <c r="F167" s="8">
        <v>0.21079999999999999</v>
      </c>
      <c r="G167" s="13">
        <f t="shared" si="3"/>
        <v>0.14413999999999999</v>
      </c>
    </row>
    <row r="168" spans="1:7" ht="17" thickBot="1" x14ac:dyDescent="0.25">
      <c r="A168" s="4" t="s">
        <v>166</v>
      </c>
      <c r="B168" s="6">
        <v>0</v>
      </c>
      <c r="C168" s="6">
        <v>0.1038</v>
      </c>
      <c r="D168" s="6">
        <v>0</v>
      </c>
      <c r="E168" s="6">
        <v>0.1085</v>
      </c>
      <c r="F168" s="6">
        <v>0.1019</v>
      </c>
      <c r="G168" s="13">
        <f t="shared" si="3"/>
        <v>6.2839999999999993E-2</v>
      </c>
    </row>
    <row r="169" spans="1:7" ht="17" thickBot="1" x14ac:dyDescent="0.25">
      <c r="A169" s="7" t="s">
        <v>42</v>
      </c>
      <c r="B169" s="8">
        <v>0</v>
      </c>
      <c r="C169" s="8">
        <v>7.8399999999999997E-2</v>
      </c>
      <c r="D169" s="8">
        <v>0</v>
      </c>
      <c r="E169" s="8">
        <v>0</v>
      </c>
      <c r="F169" s="8">
        <v>8.3000000000000004E-2</v>
      </c>
      <c r="G169" s="13">
        <f t="shared" si="3"/>
        <v>3.2279999999999996E-2</v>
      </c>
    </row>
    <row r="170" spans="1:7" ht="17" thickBot="1" x14ac:dyDescent="0.25">
      <c r="A170" s="4" t="s">
        <v>47</v>
      </c>
      <c r="B170" s="6">
        <v>0</v>
      </c>
      <c r="C170" s="6">
        <v>6.7599999999999993E-2</v>
      </c>
      <c r="D170" s="6">
        <v>0</v>
      </c>
      <c r="E170" s="6">
        <v>0</v>
      </c>
      <c r="F170" s="6">
        <v>0</v>
      </c>
      <c r="G170" s="13">
        <f t="shared" si="3"/>
        <v>1.3519999999999999E-2</v>
      </c>
    </row>
    <row r="171" spans="1:7" ht="17" thickBot="1" x14ac:dyDescent="0.25">
      <c r="A171" s="7" t="s">
        <v>285</v>
      </c>
      <c r="B171" s="8">
        <v>0</v>
      </c>
      <c r="C171" s="8">
        <v>0</v>
      </c>
      <c r="D171" s="8">
        <v>0</v>
      </c>
      <c r="E171" s="8">
        <v>0</v>
      </c>
      <c r="F171" s="8">
        <v>5.0299999999999997E-2</v>
      </c>
      <c r="G171" s="13">
        <f t="shared" si="3"/>
        <v>1.0059999999999999E-2</v>
      </c>
    </row>
    <row r="172" spans="1:7" ht="17" thickBot="1" x14ac:dyDescent="0.25">
      <c r="A172" s="4" t="s">
        <v>33</v>
      </c>
      <c r="B172" s="6">
        <v>0</v>
      </c>
      <c r="C172" s="6">
        <v>0</v>
      </c>
      <c r="D172" s="6">
        <v>0</v>
      </c>
      <c r="E172" s="6">
        <v>0.17050000000000001</v>
      </c>
      <c r="F172" s="6">
        <v>0</v>
      </c>
      <c r="G172" s="13">
        <f t="shared" si="3"/>
        <v>3.4100000000000005E-2</v>
      </c>
    </row>
    <row r="173" spans="1:7" ht="49" thickBot="1" x14ac:dyDescent="0.25">
      <c r="A173" s="7" t="s">
        <v>201</v>
      </c>
      <c r="B173" s="8">
        <v>0</v>
      </c>
      <c r="C173" s="8">
        <v>0</v>
      </c>
      <c r="D173" s="8">
        <v>0</v>
      </c>
      <c r="E173" s="8">
        <v>0</v>
      </c>
      <c r="F173" s="8">
        <v>0.16439999999999999</v>
      </c>
      <c r="G173" s="13">
        <f t="shared" si="3"/>
        <v>3.288E-2</v>
      </c>
    </row>
    <row r="174" spans="1:7" ht="17" thickBot="1" x14ac:dyDescent="0.25">
      <c r="A174" s="4" t="s">
        <v>243</v>
      </c>
      <c r="B174" s="6">
        <v>0</v>
      </c>
      <c r="C174" s="6">
        <v>3.9800000000000002E-2</v>
      </c>
      <c r="D174" s="6">
        <v>0</v>
      </c>
      <c r="E174" s="6">
        <v>0</v>
      </c>
      <c r="F174" s="6">
        <v>4.41E-2</v>
      </c>
      <c r="G174" s="13">
        <f t="shared" si="3"/>
        <v>1.678E-2</v>
      </c>
    </row>
    <row r="175" spans="1:7" ht="33" thickBot="1" x14ac:dyDescent="0.25">
      <c r="A175" s="7" t="s">
        <v>170</v>
      </c>
      <c r="B175" s="8">
        <v>0</v>
      </c>
      <c r="C175" s="8">
        <v>0</v>
      </c>
      <c r="D175" s="8">
        <v>0</v>
      </c>
      <c r="E175" s="8">
        <v>0</v>
      </c>
      <c r="F175" s="8">
        <v>2.18E-2</v>
      </c>
      <c r="G175" s="13">
        <f t="shared" si="3"/>
        <v>4.3600000000000002E-3</v>
      </c>
    </row>
    <row r="176" spans="1:7" ht="17" thickBot="1" x14ac:dyDescent="0.25">
      <c r="A176" s="4" t="s">
        <v>245</v>
      </c>
      <c r="B176" s="6">
        <v>0</v>
      </c>
      <c r="C176" s="6">
        <v>2.8299999999999999E-2</v>
      </c>
      <c r="D176" s="6">
        <v>3.3300000000000003E-2</v>
      </c>
      <c r="E176" s="6">
        <v>1.0500000000000001E-2</v>
      </c>
      <c r="F176" s="6">
        <v>3.7600000000000001E-2</v>
      </c>
      <c r="G176" s="13">
        <f t="shared" si="3"/>
        <v>2.1939999999999998E-2</v>
      </c>
    </row>
    <row r="177" spans="1:7" ht="33" thickBot="1" x14ac:dyDescent="0.25">
      <c r="A177" s="7" t="s">
        <v>250</v>
      </c>
      <c r="B177" s="8">
        <v>0</v>
      </c>
      <c r="C177" s="8">
        <v>0</v>
      </c>
      <c r="D177" s="8">
        <v>0</v>
      </c>
      <c r="E177" s="8">
        <v>5.6300000000000003E-2</v>
      </c>
      <c r="F177" s="8">
        <v>0</v>
      </c>
      <c r="G177" s="13">
        <f t="shared" si="3"/>
        <v>1.1260000000000001E-2</v>
      </c>
    </row>
    <row r="178" spans="1:7" ht="17" thickBot="1" x14ac:dyDescent="0.25">
      <c r="A178" s="4" t="s">
        <v>45</v>
      </c>
      <c r="B178" s="6">
        <v>0</v>
      </c>
      <c r="C178" s="6">
        <v>0</v>
      </c>
      <c r="D178" s="6">
        <v>0.1079</v>
      </c>
      <c r="E178" s="6">
        <v>0</v>
      </c>
      <c r="F178" s="6">
        <v>0</v>
      </c>
      <c r="G178" s="13">
        <f t="shared" si="3"/>
        <v>2.1579999999999998E-2</v>
      </c>
    </row>
    <row r="179" spans="1:7" ht="17" thickBot="1" x14ac:dyDescent="0.25">
      <c r="A179" s="7" t="s">
        <v>177</v>
      </c>
      <c r="B179" s="8">
        <v>0</v>
      </c>
      <c r="C179" s="8">
        <v>0</v>
      </c>
      <c r="D179" s="8">
        <v>0.14499999999999999</v>
      </c>
      <c r="E179" s="8">
        <v>0</v>
      </c>
      <c r="F179" s="8">
        <v>0</v>
      </c>
      <c r="G179" s="13">
        <f t="shared" si="3"/>
        <v>2.8999999999999998E-2</v>
      </c>
    </row>
    <row r="180" spans="1:7" ht="17" thickBot="1" x14ac:dyDescent="0.25">
      <c r="A180" s="11" t="s">
        <v>206</v>
      </c>
      <c r="B180" s="12">
        <v>0</v>
      </c>
      <c r="C180" s="12">
        <v>0</v>
      </c>
      <c r="D180" s="12">
        <v>0.1043</v>
      </c>
      <c r="E180" s="12">
        <v>8.1900000000000001E-2</v>
      </c>
      <c r="F180" s="12">
        <v>7.4099999999999999E-2</v>
      </c>
      <c r="G180" s="13">
        <f t="shared" si="3"/>
        <v>5.2059999999999995E-2</v>
      </c>
    </row>
  </sheetData>
  <hyperlinks>
    <hyperlink ref="A2" r:id="rId1" display="https://www.macrotrends.net/global-metrics/countries/BMU/bermuda/tariff-rates" xr:uid="{5611AF28-DACF-4D8D-A920-7CE5C334B708}"/>
    <hyperlink ref="A3" r:id="rId2" display="https://www.macrotrends.net/global-metrics/countries/CYM/cayman-islands/tariff-rates" xr:uid="{EC94A07C-E2EC-49EB-88BE-32B7F24D4D66}"/>
    <hyperlink ref="A4" r:id="rId3" display="https://www.macrotrends.net/global-metrics/countries/BLZ/belize/tariff-rates" xr:uid="{D90ED5F4-E4CE-4BF1-BF77-BBF71A922AA4}"/>
    <hyperlink ref="A5" r:id="rId4" display="https://www.macrotrends.net/global-metrics/countries/GMB/gambia/tariff-rates" xr:uid="{86E37B54-CAC7-4134-A7C3-3E2882B07BF3}"/>
    <hyperlink ref="A6" r:id="rId5" display="https://www.macrotrends.net/global-metrics/countries/SLB/solomon-islands/tariff-rates" xr:uid="{A39656A8-D975-42F6-9065-DA6C9470FCD1}"/>
    <hyperlink ref="A7" r:id="rId6" display="https://www.macrotrends.net/global-metrics/countries/SLE/sierra-leone/tariff-rates" xr:uid="{4BE136F2-F1BF-418D-A9AC-0A276C1D6F04}"/>
    <hyperlink ref="A8" r:id="rId7" display="https://www.macrotrends.net/global-metrics/countries/NRU/nauru/tariff-rates" xr:uid="{EAF5DB0D-46FB-41E3-ADF0-F7A1D65D1F8A}"/>
    <hyperlink ref="A9" r:id="rId8" display="https://www.macrotrends.net/global-metrics/countries/VEN/venezuela/tariff-rates" xr:uid="{7217BEE8-5126-438A-8F08-D1DAC98A292B}"/>
    <hyperlink ref="A10" r:id="rId9" display="https://www.macrotrends.net/global-metrics/countries/ATG/antigua-and-barbuda/tariff-rates" xr:uid="{694084CF-000C-4C52-97EC-49084BC16F7D}"/>
    <hyperlink ref="A11" r:id="rId10" display="https://www.macrotrends.net/global-metrics/countries/ETH/ethiopia/tariff-rates" xr:uid="{03835FB9-3ACA-4344-B74A-812EB6903B60}"/>
    <hyperlink ref="A12" r:id="rId11" display="https://www.macrotrends.net/global-metrics/countries/GIN/guinea/tariff-rates" xr:uid="{803B5E89-EE98-47B8-8CDF-9CB954F11725}"/>
    <hyperlink ref="A13" r:id="rId12" display="https://www.macrotrends.net/global-metrics/countries/BRB/barbados/tariff-rates" xr:uid="{D898ECC5-6528-4BCB-8622-F11D3AF8A830}"/>
    <hyperlink ref="A14" r:id="rId13" display="https://www.macrotrends.net/global-metrics/countries/NGA/nigeria/tariff-rates" xr:uid="{357053B4-1B35-4536-B8C1-ADEDC8EE5633}"/>
    <hyperlink ref="A15" r:id="rId14" display="https://www.macrotrends.net/global-metrics/countries/NPL/nepal/tariff-rates" xr:uid="{B802DABF-5291-44C9-BEFC-6C3186964574}"/>
    <hyperlink ref="A16" r:id="rId15" display="https://www.macrotrends.net/global-metrics/countries/RWA/rwanda/tariff-rates" xr:uid="{E30238D6-7D03-4B46-A838-ED7FE4FC13AE}"/>
    <hyperlink ref="A17" r:id="rId16" display="https://www.macrotrends.net/global-metrics/countries/GNB/guinea-bissau/tariff-rates" xr:uid="{A63F1F49-761E-43B1-B400-43DFF8BF476E}"/>
    <hyperlink ref="A18" r:id="rId17" display="https://www.macrotrends.net/global-metrics/countries/ZWE/zimbabwe/tariff-rates" xr:uid="{235505FF-9C81-466E-9E09-AEFCF305651A}"/>
    <hyperlink ref="A19" r:id="rId18" display="https://www.macrotrends.net/global-metrics/countries/AGO/angola/tariff-rates" xr:uid="{C80E4BE8-D686-45D2-8E74-B4A9590B6699}"/>
    <hyperlink ref="A20" r:id="rId19" display="https://www.macrotrends.net/global-metrics/countries/VUT/vanuatu/tariff-rates" xr:uid="{18FFFA25-0C74-4B4B-9ABF-A970B805593A}"/>
    <hyperlink ref="A21" r:id="rId20" display="https://www.macrotrends.net/global-metrics/countries/BGD/bangladesh/tariff-rates" xr:uid="{F8727D4D-AC00-40F6-94DE-67AE6948EC57}"/>
    <hyperlink ref="A22" r:id="rId21" display="https://www.macrotrends.net/global-metrics/countries/BEN/benin/tariff-rates" xr:uid="{D6B84BCF-D252-41AE-A6EC-C5CB53B00641}"/>
    <hyperlink ref="A23" r:id="rId22" display="https://www.macrotrends.net/global-metrics/countries/TGO/togo/tariff-rates" xr:uid="{2F934405-3307-4488-9A03-0FE05F767DB6}"/>
    <hyperlink ref="A24" r:id="rId23" display="https://www.macrotrends.net/global-metrics/countries/MDV/maldives/tariff-rates" xr:uid="{C951EB2C-C113-459B-80C6-A1574A850566}"/>
    <hyperlink ref="A25" r:id="rId24" display="https://www.macrotrends.net/global-metrics/countries/GHA/ghana/tariff-rates" xr:uid="{4C5A479E-A24E-40F6-9C8A-3A357BD753D9}"/>
    <hyperlink ref="A26" r:id="rId25" display="https://www.macrotrends.net/global-metrics/countries/DZA/algeria/tariff-rates" xr:uid="{0F8C9C32-B276-42FD-80AE-6231157C38DB}"/>
    <hyperlink ref="A27" r:id="rId26" display="https://www.macrotrends.net/global-metrics/countries/CPV/cabo-verde/tariff-rates" xr:uid="{541ED0BF-7D47-413F-B1BF-E3C4357D6CAB}"/>
    <hyperlink ref="A28" r:id="rId27" display="https://www.macrotrends.net/global-metrics/countries/ABW/aruba/tariff-rates" xr:uid="{273B5E10-A450-4E18-A74B-760142D77E8C}"/>
    <hyperlink ref="A29" r:id="rId28" display="https://www.macrotrends.net/global-metrics/countries/PLW/palau/tariff-rates" xr:uid="{89860C52-8401-44FF-BE88-85DFECA6CAAF}"/>
    <hyperlink ref="A30" r:id="rId29" display="https://www.macrotrends.net/global-metrics/countries/KEN/kenya/tariff-rates" xr:uid="{A2A22D2B-052A-40ED-AC0A-A7395B0957D1}"/>
    <hyperlink ref="A31" r:id="rId30" display="https://www.macrotrends.net/global-metrics/countries/VCT/st-vincent-and-the-grenadines/tariff-rates" xr:uid="{29B059EB-B017-48E6-AE68-6F90A0472125}"/>
    <hyperlink ref="A32" r:id="rId31" display="https://www.macrotrends.net/global-metrics/countries/PAK/pakistan/tariff-rates" xr:uid="{5EC7306B-0584-4054-AE0D-3B94D9908458}"/>
    <hyperlink ref="A33" r:id="rId32" display="https://www.macrotrends.net/global-metrics/countries/CUB/cuba/tariff-rates" xr:uid="{CB71E7BF-EDD4-4E41-B58F-B694072032B9}"/>
    <hyperlink ref="A34" r:id="rId33" display="https://www.macrotrends.net/global-metrics/countries/SEN/senegal/tariff-rates" xr:uid="{BC5AEFD5-A955-419B-B504-B5321A2E80D6}"/>
    <hyperlink ref="A35" r:id="rId34" display="https://www.macrotrends.net/global-metrics/countries/TTO/trinidad-and-tobago/tariff-rates" xr:uid="{F8293571-2009-4BBA-86FE-DE29209F9CC8}"/>
    <hyperlink ref="A36" r:id="rId35" display="https://www.macrotrends.net/global-metrics/countries/TZA/tanzania/tariff-rates" xr:uid="{D022E42E-9537-445B-BB56-F935D05A8846}"/>
    <hyperlink ref="A37" r:id="rId36" display="https://www.macrotrends.net/global-metrics/countries/UGA/uganda/tariff-rates" xr:uid="{89B0D00C-C50B-4D76-97BF-4B85F87EFB90}"/>
    <hyperlink ref="A38" r:id="rId37" display="https://www.macrotrends.net/global-metrics/countries/JAM/jamaica/tariff-rates" xr:uid="{22148DF6-FD38-494C-AF7F-CCE315B2F0A7}"/>
    <hyperlink ref="A39" r:id="rId38" display="https://www.macrotrends.net/global-metrics/countries/BDI/burundi/tariff-rates" xr:uid="{1EAA33A4-EA3E-401E-B1D1-2B8156F8702F}"/>
    <hyperlink ref="A40" r:id="rId39" display="https://www.macrotrends.net/global-metrics/countries/NER/niger/tariff-rates" xr:uid="{0349335D-B566-48CC-9BE2-40548832A304}"/>
    <hyperlink ref="A41" r:id="rId40" display="https://www.macrotrends.net/global-metrics/countries/SUR/suriname/tariff-rates" xr:uid="{23606525-DAD3-4859-A0B4-B3CBA984442A}"/>
    <hyperlink ref="A42" r:id="rId41" display="https://www.macrotrends.net/global-metrics/countries/FJI/fiji/tariff-rates" xr:uid="{7BEEBACE-2880-472B-81BE-470D61E5C2D9}"/>
    <hyperlink ref="A43" r:id="rId42" display="https://www.macrotrends.net/global-metrics/countries/MRT/mauritania/tariff-rates" xr:uid="{C21B5C0F-C10E-4A98-B198-675F9411A154}"/>
    <hyperlink ref="A44" r:id="rId43" display="https://www.macrotrends.net/global-metrics/countries/MLI/mali/tariff-rates" xr:uid="{21C8347F-ACAE-4990-BBA7-D910D3C2702C}"/>
    <hyperlink ref="A45" r:id="rId44" display="https://www.macrotrends.net/global-metrics/countries/BRA/brazil/tariff-rates" xr:uid="{E5BD51BC-A8A0-4D39-9382-A9C77E97021E}"/>
    <hyperlink ref="A46" r:id="rId45" display="https://www.macrotrends.net/global-metrics/countries/MDG/madagascar/tariff-rates" xr:uid="{92FE16EE-A626-4A62-A174-56EC942AAD93}"/>
    <hyperlink ref="A47" r:id="rId46" display="https://www.macrotrends.net/global-metrics/countries/BFA/burkina-faso/tariff-rates" xr:uid="{989CD251-AAAA-4CF5-83C7-E7EE0802EB62}"/>
    <hyperlink ref="A48" r:id="rId47" display="https://www.macrotrends.net/global-metrics/countries/LBR/liberia/tariff-rates" xr:uid="{052BFDF0-F3A8-4D56-B6AD-A3CCAB005BDD}"/>
    <hyperlink ref="A49" r:id="rId48" display="https://www.macrotrends.net/global-metrics/countries/TON/tonga/tariff-rates" xr:uid="{644C9FF6-3800-4BC4-AFAD-8AD9B6FA5336}"/>
    <hyperlink ref="A50" r:id="rId49" display="https://www.macrotrends.net/global-metrics/countries/ARG/argentina/tariff-rates" xr:uid="{D58F5F6A-FC52-4411-AAEA-D36904FE83BF}"/>
    <hyperlink ref="A51" r:id="rId50" display="https://www.macrotrends.net/global-metrics/countries/PAN/panama/tariff-rates" xr:uid="{6C10C3C8-9050-4E92-BB3A-597FB7ACCC67}"/>
    <hyperlink ref="A52" r:id="rId51" display="https://www.macrotrends.net/global-metrics/countries/AZE/azerbaijan/tariff-rates" xr:uid="{C81C60E9-C582-45B4-8E38-A04CCEDD5CEB}"/>
    <hyperlink ref="A53" r:id="rId52" display="https://www.macrotrends.net/global-metrics/countries/MWI/malawi/tariff-rates" xr:uid="{69A2548C-D655-41C4-BA48-ED23F5BF0A81}"/>
    <hyperlink ref="A54" r:id="rId53" display="https://www.macrotrends.net/global-metrics/countries/IND/india/tariff-rates" xr:uid="{954201B6-46D0-44AF-9D98-BA4BFB6AC4A4}"/>
    <hyperlink ref="A55" r:id="rId54" display="https://www.macrotrends.net/global-metrics/countries/PYF/french-polynesia/tariff-rates" xr:uid="{D2C302A9-10CF-475E-99EB-0557F2A0897A}"/>
    <hyperlink ref="A56" r:id="rId55" display="https://www.macrotrends.net/global-metrics/countries/KHM/cambodia/tariff-rates" xr:uid="{1716883F-D838-4827-A70D-EF5E301FDA46}"/>
    <hyperlink ref="A57" r:id="rId56" display="https://www.macrotrends.net/global-metrics/countries/MNG/mongolia/tariff-rates" xr:uid="{2332637D-D100-4B3C-A37E-2ED1BDB2C8D3}"/>
    <hyperlink ref="A58" r:id="rId57" display="https://www.macrotrends.net/global-metrics/countries/URY/uruguay/tariff-rates" xr:uid="{45C94F38-C237-439E-BD00-CC95B6EADA84}"/>
    <hyperlink ref="A59" r:id="rId58" display="https://www.macrotrends.net/global-metrics/countries/BOL/bolivia/tariff-rates" xr:uid="{47279C52-DD9C-43C7-A861-C48C56B66D99}"/>
    <hyperlink ref="A60" r:id="rId59" display="https://www.macrotrends.net/global-metrics/countries/KOR/south-korea/tariff-rates" xr:uid="{6CEBD534-A03B-4B49-87A4-6F5A08278104}"/>
    <hyperlink ref="A61" r:id="rId60" display="https://www.macrotrends.net/global-metrics/countries/ZMB/zambia/tariff-rates" xr:uid="{038C9016-701C-467E-B3AC-29F20849014B}"/>
    <hyperlink ref="A62" r:id="rId61" display="https://www.macrotrends.net/global-metrics/countries/GUY/guyana/tariff-rates" xr:uid="{24ED6DAD-3ED0-497A-A595-AF099EB1F2D6}"/>
    <hyperlink ref="A63" r:id="rId62" display="https://www.macrotrends.net/global-metrics/countries/ECU/ecuador/tariff-rates" xr:uid="{4CB20E4B-B4E1-4B8D-9B9D-43BBAC81B98F}"/>
    <hyperlink ref="A64" r:id="rId63" display="https://www.macrotrends.net/global-metrics/countries/PRY/paraguay/tariff-rates" xr:uid="{5755BA57-BC83-4537-8386-9CCF674A28C3}"/>
    <hyperlink ref="A65" r:id="rId64" display="https://www.macrotrends.net/global-metrics/countries/ZAF/south-africa/tariff-rates" xr:uid="{2576BEDC-0512-4780-BFA2-1D6912DC6DB0}"/>
    <hyperlink ref="A66" r:id="rId65" display="https://www.macrotrends.net/global-metrics/countries/LKA/sri-lanka/tariff-rates" xr:uid="{442991C3-515D-430B-9CFC-5EB29D0C6FA1}"/>
    <hyperlink ref="A67" r:id="rId66" display="https://www.macrotrends.net/global-metrics/countries/COM/comoros/tariff-rates" xr:uid="{B07C5925-3B3B-4BB6-963D-8EAFBA8FFD88}"/>
    <hyperlink ref="A68" r:id="rId67" display="https://www.macrotrends.net/global-metrics/countries/MAR/morocco/tariff-rates" xr:uid="{ACB5F3AE-E212-4F84-B81E-7E6AF514DA99}"/>
    <hyperlink ref="A69" r:id="rId68" display="https://www.macrotrends.net/global-metrics/countries/MOZ/mozambique/tariff-rates" xr:uid="{131E6CDB-06B5-4F3F-97DD-F15238FA5A03}"/>
    <hyperlink ref="A70" r:id="rId69" display="https://www.macrotrends.net/global-metrics/countries/RUS/russia/tariff-rates" xr:uid="{87C80510-2015-428D-8ED4-0E182D88AE83}"/>
    <hyperlink ref="A71" r:id="rId70" display="https://www.macrotrends.net/global-metrics/countries/LBY/libya/tariff-rates" xr:uid="{3A500C89-642D-4148-AB9A-FC5CD8F5C2AA}"/>
    <hyperlink ref="A72" r:id="rId71" display="https://www.macrotrends.net/global-metrics/countries/DOM/dominican-republic/tariff-rates" xr:uid="{FF573DD1-045A-4BF8-8965-2772883A18BE}"/>
    <hyperlink ref="A73" r:id="rId72" display="https://www.macrotrends.net/global-metrics/countries/MYS/malaysia/tariff-rates" xr:uid="{DF36340E-B224-4CC0-834A-7EFBCE4322FC}"/>
    <hyperlink ref="A74" r:id="rId73" display="https://www.macrotrends.net/global-metrics/countries/ARM/armenia/tariff-rates" xr:uid="{FD919160-CB06-4244-A00F-BA2BECE2C641}"/>
    <hyperlink ref="A75" r:id="rId74" display="https://www.macrotrends.net/global-metrics/countries/PNG/papua-new-guinea/tariff-rates" xr:uid="{9A84A386-E7E3-410C-906D-7BB170DD5BFA}"/>
    <hyperlink ref="A76" r:id="rId75" display="https://www.macrotrends.net/global-metrics/countries/QAT/qatar/tariff-rates" xr:uid="{6A229244-4F61-4870-A31E-99E7727C90C6}"/>
    <hyperlink ref="A77" r:id="rId76" display="https://www.macrotrends.net/global-metrics/countries/LSO/lesotho/tariff-rates" xr:uid="{E38B479A-9E19-46B9-8103-D02530F92C96}"/>
    <hyperlink ref="A78" r:id="rId77" display="https://www.macrotrends.net/global-metrics/countries/BTN/bhutan/tariff-rates" xr:uid="{96926C24-B604-47C2-98EA-17FB784829BA}"/>
    <hyperlink ref="A79" r:id="rId78" display="https://www.macrotrends.net/global-metrics/countries/TUR/turkey/tariff-rates" xr:uid="{A5CF81D0-CFB6-4CCA-9DC6-500AA1482E85}"/>
    <hyperlink ref="A80" r:id="rId79" display="https://www.macrotrends.net/global-metrics/countries/MNE/montenegro/tariff-rates" xr:uid="{E34D3197-37F6-471A-9749-B027221F9F79}"/>
    <hyperlink ref="A81" r:id="rId80" display="https://www.macrotrends.net/global-metrics/countries/THA/thailand/tariff-rates" xr:uid="{137B7670-6ECF-43A8-ABB3-44101B5E8E4D}"/>
    <hyperlink ref="A82" r:id="rId81" display="https://www.macrotrends.net/global-metrics/countries/KGZ/kyrgyz-republic/tariff-rates" xr:uid="{B1D015E5-6DB9-4D70-BF13-DA8A4418BA44}"/>
    <hyperlink ref="A83" r:id="rId82" display="https://www.macrotrends.net/global-metrics/countries/NOR/norway/tariff-rates" xr:uid="{C0E45394-649E-44BC-94BB-D2194E099E88}"/>
    <hyperlink ref="A84" r:id="rId83" display="https://www.macrotrends.net/global-metrics/countries/ISR/israel/tariff-rates" xr:uid="{F21D3A19-7A7E-42DB-8DC9-BB4B6E6F511C}"/>
    <hyperlink ref="A85" r:id="rId84" display="https://www.macrotrends.net/global-metrics/countries/HND/honduras/tariff-rates" xr:uid="{D227972A-9B1F-48C6-B853-5CD1AA153722}"/>
    <hyperlink ref="A86" r:id="rId85" display="https://www.macrotrends.net/global-metrics/countries/KWT/kuwait/tariff-rates" xr:uid="{C385DC5B-FB84-4684-B332-45570243C7B2}"/>
    <hyperlink ref="A87" r:id="rId86" display="https://www.macrotrends.net/global-metrics/countries/BIH/bosnia/tariff-rates" xr:uid="{551CC6F3-55CB-4044-AF58-F92378408EFB}"/>
    <hyperlink ref="A88" r:id="rId87" display="https://www.macrotrends.net/global-metrics/countries/ARE/uae/tariff-rates" xr:uid="{A20201B6-F309-4D84-A90C-8B0197FDB6B1}"/>
    <hyperlink ref="A89" r:id="rId88" display="https://www.macrotrends.net/global-metrics/countries/COL/colombia/tariff-rates" xr:uid="{5969A39D-6476-4517-ACF6-3CCB0BB370D7}"/>
    <hyperlink ref="A90" r:id="rId89" display="https://www.macrotrends.net/global-metrics/countries/UZB/uzbekistan/tariff-rates" xr:uid="{D5CB9D7F-7240-4305-8799-A6C03DF1D5DA}"/>
    <hyperlink ref="A91" r:id="rId90" display="https://www.macrotrends.net/global-metrics/countries/TLS/timor-leste/tariff-rates" xr:uid="{E7AF7FEF-C1BE-4E93-977C-B8D4CA99C111}"/>
    <hyperlink ref="A92" r:id="rId91" display="https://www.macrotrends.net/global-metrics/countries/MKD/north-macedonia/tariff-rates" xr:uid="{CF7BEC80-40C6-4259-B7BB-EB088C964981}"/>
    <hyperlink ref="A93" r:id="rId92" display="https://www.macrotrends.net/global-metrics/countries/CAN/canada/tariff-rates" xr:uid="{BDAAA976-A9C2-4E50-86A6-FA5BB3BA91E7}"/>
    <hyperlink ref="A94" r:id="rId93" display="https://www.macrotrends.net/global-metrics/countries/CHN/china/tariff-rates" xr:uid="{B326360A-6376-4301-9550-7E47D93D7560}"/>
    <hyperlink ref="A95" r:id="rId94" display="https://www.macrotrends.net/global-metrics/countries/TJK/tajikistan/tariff-rates" xr:uid="{D034BBB6-03FF-430C-BBA7-3572F4AB50C6}"/>
    <hyperlink ref="A96" r:id="rId95" display="https://www.macrotrends.net/global-metrics/countries/BLR/belarus/tariff-rates" xr:uid="{03254D8A-EDA8-458A-B2EE-FDDF5816CEF1}"/>
    <hyperlink ref="A97" r:id="rId96" display="https://www.macrotrends.net/global-metrics/countries/KAZ/kazakhstan/tariff-rates" xr:uid="{9C1A90F3-B2CC-4AA2-B001-BE1F620639CD}"/>
    <hyperlink ref="A98" r:id="rId97" display="https://www.macrotrends.net/global-metrics/countries/SWZ/eswatini/tariff-rates" xr:uid="{D842EE6C-9A1E-4EF7-8840-623CC5DFF096}"/>
    <hyperlink ref="A99" r:id="rId98" display="https://www.macrotrends.net/global-metrics/countries/BHR/bahrain/tariff-rates" xr:uid="{59DEE6B8-67E4-433C-8F10-0F4106147FEF}"/>
    <hyperlink ref="A100" r:id="rId99" display="https://www.macrotrends.net/global-metrics/countries/OMN/oman/tariff-rates" xr:uid="{8DF21935-D6F6-4631-8D4D-A9B332232552}"/>
    <hyperlink ref="A101" r:id="rId100" display="https://www.macrotrends.net/global-metrics/countries/NIC/nicaragua/tariff-rates" xr:uid="{44AA3E5B-CEF0-4DA7-92DA-A1754AB9129B}"/>
    <hyperlink ref="A102" r:id="rId101" display="https://www.macrotrends.net/global-metrics/countries/SLV/el-salvador/tariff-rates" xr:uid="{BFD5FADA-3B9C-4856-884B-264F84C5F3D3}"/>
    <hyperlink ref="A103" r:id="rId102" display="https://www.macrotrends.net/global-metrics/countries/JPN/japan/tariff-rates" xr:uid="{68EA60C2-6AEC-44B5-85E4-B76208D1261B}"/>
    <hyperlink ref="A104" r:id="rId103" display="https://www.macrotrends.net/global-metrics/countries/IDN/indonesia/tariff-rates" xr:uid="{570C4494-EFB0-427D-A27E-19C6707EC3B4}"/>
    <hyperlink ref="A105" r:id="rId104" display="https://www.macrotrends.net/global-metrics/countries/PHL/philippines/tariff-rates" xr:uid="{25D5CF00-6663-4470-8798-F624BF9E372B}"/>
    <hyperlink ref="A106" r:id="rId105" display="https://www.macrotrends.net/global-metrics/countries/GTM/guatemala/tariff-rates" xr:uid="{B673B57B-3FAB-45C9-B08E-E709C67A1836}"/>
    <hyperlink ref="A107" r:id="rId106" display="https://www.macrotrends.net/global-metrics/countries/SRB/serbia/tariff-rates" xr:uid="{3FA772ED-2DC3-4FDA-B120-374979AA3DC7}"/>
    <hyperlink ref="A108" r:id="rId107" display="https://www.macrotrends.net/global-metrics/countries/UKR/ukraine/tariff-rates" xr:uid="{2CA7CA95-42CF-4023-9DE8-A73896B64EFD}"/>
    <hyperlink ref="A109" r:id="rId108" display="https://www.macrotrends.net/global-metrics/countries/ISL/iceland/tariff-rates" xr:uid="{7732497C-59F8-4A11-9D23-F4C2E1478307}"/>
    <hyperlink ref="A110" r:id="rId109" display="https://www.macrotrends.net/global-metrics/countries/USA/united-states/tariff-rates" xr:uid="{0055B592-C912-4487-85D8-29C1A74BD8FE}"/>
    <hyperlink ref="A111" r:id="rId110" display="https://www.macrotrends.net/global-metrics/countries/CRI/costa-rica/tariff-rates" xr:uid="{F64A0FAF-053E-420E-B9EF-2E5FF0B98716}"/>
    <hyperlink ref="A112" r:id="rId111" display="https://www.macrotrends.net/global-metrics/countries/CHE/switzerland/tariff-rates" xr:uid="{109547D0-AB90-4660-B4E2-932A3DEF55A6}"/>
    <hyperlink ref="A113" r:id="rId112" display="https://www.macrotrends.net/global-metrics/countries/BEL/belgium/tariff-rates" xr:uid="{DA1C6B47-4A79-4C3A-AC38-D6410143AFDD}"/>
    <hyperlink ref="A114" r:id="rId113" display="https://www.macrotrends.net/global-metrics/countries/IRL/ireland/tariff-rates" xr:uid="{805F5846-6CEB-4820-ADCC-92558CE869BC}"/>
    <hyperlink ref="A115" r:id="rId114" display="https://www.macrotrends.net/global-metrics/countries/NLD/netherlands/tariff-rates" xr:uid="{AF58310B-A146-4977-9CD8-B93C9D4DA5B3}"/>
    <hyperlink ref="A116" r:id="rId115" display="https://www.macrotrends.net/global-metrics/countries/CYP/cyprus/tariff-rates" xr:uid="{C031D0F6-77DB-4C85-B832-599A6B3DEBF3}"/>
    <hyperlink ref="A117" r:id="rId116" display="https://www.macrotrends.net/global-metrics/countries/ESP/spain/tariff-rates" xr:uid="{E9B99786-729A-42E3-A646-DD25F8CBBA9D}"/>
    <hyperlink ref="A118" r:id="rId117" display="https://www.macrotrends.net/global-metrics/countries/CZE/czech-republic/tariff-rates" xr:uid="{A4D85883-FDDE-4AA0-920E-4FAAD49BBEBA}"/>
    <hyperlink ref="A119" r:id="rId118" display="https://www.macrotrends.net/global-metrics/countries/POL/poland/tariff-rates" xr:uid="{583AD3AD-B485-4070-A33C-8F7FC8E87E58}"/>
    <hyperlink ref="A120" r:id="rId119" display="https://www.macrotrends.net/global-metrics/countries/EST/estonia/tariff-rates" xr:uid="{B4C1B8ED-386D-4C2D-B5BA-B79E7105BB4B}"/>
    <hyperlink ref="A121" r:id="rId120" display="https://www.macrotrends.net/global-metrics/countries/DEU/germany/tariff-rates" xr:uid="{47F6234E-E5E4-453F-8B1A-1BA4EB21CFE0}"/>
    <hyperlink ref="A122" r:id="rId121" display="https://www.macrotrends.net/global-metrics/countries/LTU/lithuania/tariff-rates" xr:uid="{450C211E-1726-476E-8D01-F20DB3ACF0E7}"/>
    <hyperlink ref="A123" r:id="rId122" display="https://www.macrotrends.net/global-metrics/countries/BGR/bulgaria/tariff-rates" xr:uid="{0778F919-CE49-45A0-877B-F5E4F6C4F2F7}"/>
    <hyperlink ref="A124" r:id="rId123" display="https://www.macrotrends.net/global-metrics/countries/FIN/finland/tariff-rates" xr:uid="{52F000D6-8EE1-4B6E-943E-3BDE9E9A383D}"/>
    <hyperlink ref="A125" r:id="rId124" display="https://www.macrotrends.net/global-metrics/countries/HRV/croatia/tariff-rates" xr:uid="{D5F62722-4F21-477A-AFBB-D24F3B4E4EB6}"/>
    <hyperlink ref="A126" r:id="rId125" display="https://www.macrotrends.net/global-metrics/countries/LUX/luxembourg/tariff-rates" xr:uid="{718E5A95-83CF-411B-BC94-2ADCD7AD43CD}"/>
    <hyperlink ref="A127" r:id="rId126" display="https://www.macrotrends.net/global-metrics/countries/SVK/slovak-republic/tariff-rates" xr:uid="{CA027EA0-2451-4249-BBFE-8D773D5D9D23}"/>
    <hyperlink ref="A128" r:id="rId127" display="https://www.macrotrends.net/global-metrics/countries/ITA/italy/tariff-rates" xr:uid="{C23AB6F3-FF8C-463C-817E-D1206D55EDA5}"/>
    <hyperlink ref="A129" r:id="rId128" display="https://www.macrotrends.net/global-metrics/countries/PRT/portugal/tariff-rates" xr:uid="{F943DF56-07C6-42A6-B906-284206E82896}"/>
    <hyperlink ref="A130" r:id="rId129" display="https://www.macrotrends.net/global-metrics/countries/LVA/latvia/tariff-rates" xr:uid="{FA97E957-ED7F-4CD7-8D40-A178A10C14BC}"/>
    <hyperlink ref="A131" r:id="rId130" display="https://www.macrotrends.net/global-metrics/countries/SVN/slovenia/tariff-rates" xr:uid="{CB1D445F-B8CA-483A-96D5-623DA5C7ADFA}"/>
    <hyperlink ref="A132" r:id="rId131" display="https://www.macrotrends.net/global-metrics/countries/DNK/denmark/tariff-rates" xr:uid="{FD8CEC68-E86D-42FE-8DFE-7BCE4DA84C12}"/>
    <hyperlink ref="A133" r:id="rId132" display="https://www.macrotrends.net/global-metrics/countries/FRA/france/tariff-rates" xr:uid="{7631A93C-9DB8-40DA-8678-74E8C5527946}"/>
    <hyperlink ref="A134" r:id="rId133" display="https://www.macrotrends.net/global-metrics/countries/HUN/hungary/tariff-rates" xr:uid="{A12BF8A9-BC58-46B0-AFB2-D5E132C2CCF1}"/>
    <hyperlink ref="A135" r:id="rId134" display="https://www.macrotrends.net/global-metrics/countries/SWE/sweden/tariff-rates" xr:uid="{B829A93E-A1CB-4202-B3B1-1D39F78D79E4}"/>
    <hyperlink ref="A136" r:id="rId135" display="https://www.macrotrends.net/global-metrics/countries/MLT/malta/tariff-rates" xr:uid="{FA08CD14-A0A7-48A2-8E11-AD07CB99F5C6}"/>
    <hyperlink ref="A137" r:id="rId136" display="https://www.macrotrends.net/global-metrics/countries/GRC/greece/tariff-rates" xr:uid="{BEB8A540-142A-4C02-8728-2E65DBD423A0}"/>
    <hyperlink ref="A138" r:id="rId137" display="https://www.macrotrends.net/global-metrics/countries/AUT/austria/tariff-rates" xr:uid="{0D8B3352-7E92-46C6-B9D7-19725F9218EE}"/>
    <hyperlink ref="A139" r:id="rId138" display="https://www.macrotrends.net/global-metrics/countries/ROU/romania/tariff-rates" xr:uid="{38134F04-52A2-4CF9-832D-0998FCC679B4}"/>
    <hyperlink ref="A140" r:id="rId139" display="https://www.macrotrends.net/global-metrics/countries/NAM/namibia/tariff-rates" xr:uid="{4D6BD853-3A4E-4B1C-BD16-67CC83D30650}"/>
    <hyperlink ref="A141" r:id="rId140" display="https://www.macrotrends.net/global-metrics/countries/MUS/mauritius/tariff-rates" xr:uid="{DEA216C8-3757-4E5C-B35D-A2DA9AEE2320}"/>
    <hyperlink ref="A142" r:id="rId141" display="https://www.macrotrends.net/global-metrics/countries/MDA/moldova/tariff-rates" xr:uid="{84843DC4-49DF-4AAD-AF03-C43BB5A7CD2D}"/>
    <hyperlink ref="A143" r:id="rId142" display="https://www.macrotrends.net/global-metrics/countries/VNM/vietnam/tariff-rates" xr:uid="{54EA3F68-65B3-43C8-8D0E-8A053EF86CE6}"/>
    <hyperlink ref="A144" r:id="rId143" display="https://www.macrotrends.net/global-metrics/countries/ALB/albania/tariff-rates" xr:uid="{B2475901-905D-4C99-8537-B33451D49A52}"/>
    <hyperlink ref="A145" r:id="rId144" display="https://www.macrotrends.net/global-metrics/countries/LAO/lao-pdr/tariff-rates" xr:uid="{F388C42B-D58E-4762-9F17-625F043F9F7E}"/>
    <hyperlink ref="A146" r:id="rId145" display="https://www.macrotrends.net/global-metrics/countries/SYC/seychelles/tariff-rates" xr:uid="{975B662E-326A-4E37-B496-5525CEF0C8A4}"/>
    <hyperlink ref="A147" r:id="rId146" display="https://www.macrotrends.net/global-metrics/countries/MMR/myanmar/tariff-rates" xr:uid="{5A6162B7-FC5B-48A1-BFD3-C8ABBD25F08D}"/>
    <hyperlink ref="A148" r:id="rId147" display="https://www.macrotrends.net/global-metrics/countries/BWA/botswana/tariff-rates" xr:uid="{581E5CE8-A897-46C9-8C82-0FA0BDC1DB7E}"/>
    <hyperlink ref="A149" r:id="rId148" display="https://www.macrotrends.net/global-metrics/countries/NZL/new-zealand/tariff-rates" xr:uid="{1CFD8B6F-E281-40E1-BC86-3A66EF357E58}"/>
    <hyperlink ref="A150" r:id="rId149" display="https://www.macrotrends.net/global-metrics/countries/AUS/australia/tariff-rates" xr:uid="{43AB1E5E-31BD-4328-9B93-10D314F9A630}"/>
    <hyperlink ref="A151" r:id="rId150" display="https://www.macrotrends.net/global-metrics/countries/GBR/united-kingdom/tariff-rates" xr:uid="{126CADA1-56A2-440D-B4E1-4168A56338C2}"/>
    <hyperlink ref="A152" r:id="rId151" display="https://www.macrotrends.net/global-metrics/countries/PER/peru/tariff-rates" xr:uid="{DB831625-5F9B-4B76-9D7D-D3E9B043C7B7}"/>
    <hyperlink ref="A153" r:id="rId152" display="https://www.macrotrends.net/global-metrics/countries/CHL/chile/tariff-rates" xr:uid="{C9EA6353-FD5A-4CD0-9322-6B20337E0DC8}"/>
    <hyperlink ref="A154" r:id="rId153" display="https://www.macrotrends.net/global-metrics/countries/GEO/georgia/tariff-rates" xr:uid="{8DCEA143-26C6-4838-BE97-DA02A689D4B1}"/>
    <hyperlink ref="A155" r:id="rId154" display="https://www.macrotrends.net/global-metrics/countries/BRN/brunei/tariff-rates" xr:uid="{914FF4CD-08E5-4179-9836-5BD1E48BE133}"/>
    <hyperlink ref="A156" r:id="rId155" display="https://www.macrotrends.net/global-metrics/countries/SDN/sudan/tariff-rates" xr:uid="{494CDCA2-76EA-42CF-A78B-CB70BDD4D23F}"/>
    <hyperlink ref="A157" r:id="rId156" display="https://www.macrotrends.net/global-metrics/countries/SGP/singapore/tariff-rates" xr:uid="{667B5840-D15F-4B36-AC21-0CCADEFB4B56}"/>
    <hyperlink ref="A158" r:id="rId157" display="https://www.macrotrends.net/global-metrics/countries/LCA/st-lucia/tariff-rates" xr:uid="{E20339A8-7DF8-4E9C-8F48-77B11D4A7748}"/>
    <hyperlink ref="A159" r:id="rId158" display="https://www.macrotrends.net/global-metrics/countries/SYR/syrian-arab-republic/tariff-rates" xr:uid="{A4157B7F-7BDF-4DCE-9298-EF655D4D3ECB}"/>
    <hyperlink ref="A160" r:id="rId159" display="https://www.macrotrends.net/global-metrics/countries/IRN/iran/tariff-rates" xr:uid="{56177987-6C03-4AB3-B57C-356729AF4DFB}"/>
    <hyperlink ref="A161" r:id="rId160" display="https://www.macrotrends.net/global-metrics/countries/TUV/tuvalu/tariff-rates" xr:uid="{7A6798AA-DB47-4868-8C53-748E8C8E4B7E}"/>
    <hyperlink ref="A162" r:id="rId161" display="https://www.macrotrends.net/global-metrics/countries/CMR/cameroon/tariff-rates" xr:uid="{5056D364-75DE-4933-ABCE-C84BC777B87D}"/>
    <hyperlink ref="A163" r:id="rId162" display="https://www.macrotrends.net/global-metrics/countries/SAU/saudi-arabia/tariff-rates" xr:uid="{8F957CC5-3916-4ED7-91B8-41FA6926D1AA}"/>
    <hyperlink ref="A164" r:id="rId163" display="https://www.macrotrends.net/global-metrics/countries/COD/democratic-republic-of-congo/tariff-rates" xr:uid="{CEEC2949-8F74-4B0E-ADDA-379A2A8230B9}"/>
    <hyperlink ref="A165" r:id="rId164" display="https://www.macrotrends.net/global-metrics/countries/STP/sao-tome-and-principe/tariff-rates" xr:uid="{88B16545-FFEF-4A90-84D6-0392AA132827}"/>
    <hyperlink ref="A166" r:id="rId165" display="https://www.macrotrends.net/global-metrics/countries/MEX/mexico/tariff-rates" xr:uid="{EA212808-8687-4D0B-953C-ABF3E3EA42FE}"/>
    <hyperlink ref="A167" r:id="rId166" display="https://www.macrotrends.net/global-metrics/countries/KNA/st-kitts-and-nevis/tariff-rates" xr:uid="{A38F3CFF-CB0E-48E0-9F5D-C01368DFEC94}"/>
    <hyperlink ref="A168" r:id="rId167" display="https://www.macrotrends.net/global-metrics/countries/WSM/samoa/tariff-rates" xr:uid="{42D30FBD-CF47-489F-95E8-93C6D699EADF}"/>
    <hyperlink ref="A169" r:id="rId168" display="https://www.macrotrends.net/global-metrics/countries/DMA/dominica/tariff-rates" xr:uid="{E9ECE1B2-97B6-42FC-BDDC-5CC18C5B7C32}"/>
    <hyperlink ref="A170" r:id="rId169" display="https://www.macrotrends.net/global-metrics/countries/HTI/haiti/tariff-rates" xr:uid="{145D688B-8F6F-4461-B6FC-368BA9CA33EF}"/>
    <hyperlink ref="A171" r:id="rId170" display="https://www.macrotrends.net/global-metrics/countries/YEM/yemen/tariff-rates" xr:uid="{BF9FB048-BD0C-4F16-AA1D-185ED01DA96E}"/>
    <hyperlink ref="A172" r:id="rId171" display="https://www.macrotrends.net/global-metrics/countries/BHS/bahamas/tariff-rates" xr:uid="{9B6A57F1-E1FA-42B6-A16D-B5C527C636E4}"/>
    <hyperlink ref="A173" r:id="rId172" display="https://www.macrotrends.net/global-metrics/countries/CAF/central-african-republic/tariff-rates" xr:uid="{3D4C4AA4-D1E4-49DE-B1F2-AE8B1EC787E8}"/>
    <hyperlink ref="A174" r:id="rId173" display="https://www.macrotrends.net/global-metrics/countries/JOR/jordan/tariff-rates" xr:uid="{7E1AA057-D609-40BF-9DCF-3DCFF305418B}"/>
    <hyperlink ref="A175" r:id="rId174" display="https://www.macrotrends.net/global-metrics/countries/PSE/west-bank-and-gaza/tariff-rates" xr:uid="{86BF0B7A-B37E-48EF-92AC-3C095FE7ADCC}"/>
    <hyperlink ref="A176" r:id="rId175" display="https://www.macrotrends.net/global-metrics/countries/LBN/lebanon/tariff-rates" xr:uid="{6F8D9A30-F811-4869-BDCF-F41F712F57E2}"/>
    <hyperlink ref="A177" r:id="rId176" display="https://www.macrotrends.net/global-metrics/countries/AFG/afghanistan/tariff-rates" xr:uid="{82ECF92C-F97B-421B-9335-B06D897CC631}"/>
    <hyperlink ref="A178" r:id="rId177" display="https://www.macrotrends.net/global-metrics/countries/GRD/grenada/tariff-rates" xr:uid="{7D850501-0804-4DD8-BBF2-A045A6727494}"/>
    <hyperlink ref="A179" r:id="rId178" display="https://www.macrotrends.net/global-metrics/countries/GAB/gabon/tariff-rates" xr:uid="{F7DEE7C0-C8AA-4537-9ABC-5DBF42F18369}"/>
    <hyperlink ref="A180" r:id="rId179" display="https://www.macrotrends.net/global-metrics/countries/EGY/egypt/tariff-rates" xr:uid="{5419B374-4957-4C2F-A596-1C8A76C11C6C}"/>
  </hyperlinks>
  <pageMargins left="0.7" right="0.7" top="0.75" bottom="0.75" header="0.3" footer="0.3"/>
  <pageSetup orientation="portrait" r:id="rId18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184935-A7FB-47D6-ADBB-6FEBD787CE8D}">
  <dimension ref="A1:K68"/>
  <sheetViews>
    <sheetView topLeftCell="D1" zoomScaleNormal="100" workbookViewId="0">
      <selection activeCell="D71" sqref="D71"/>
    </sheetView>
  </sheetViews>
  <sheetFormatPr baseColWidth="10" defaultColWidth="8.83203125" defaultRowHeight="15" x14ac:dyDescent="0.2"/>
  <cols>
    <col min="5" max="5" width="14.1640625" customWidth="1"/>
    <col min="6" max="11" width="17.1640625" customWidth="1"/>
  </cols>
  <sheetData>
    <row r="1" spans="1:11" x14ac:dyDescent="0.2">
      <c r="F1" t="s">
        <v>255</v>
      </c>
      <c r="G1" t="s">
        <v>104</v>
      </c>
      <c r="H1" t="s">
        <v>265</v>
      </c>
      <c r="I1" t="s">
        <v>106</v>
      </c>
      <c r="J1" t="s">
        <v>107</v>
      </c>
      <c r="K1" t="s">
        <v>108</v>
      </c>
    </row>
    <row r="2" spans="1:11" x14ac:dyDescent="0.2">
      <c r="F2">
        <f>_xlfn.PERCENTILE.INC(B2:B68, 0)</f>
        <v>0</v>
      </c>
      <c r="G2">
        <f>_xlfn.PERCENTILE.INC(B2:B68, 0.2)</f>
        <v>1.7</v>
      </c>
      <c r="H2">
        <f>_xlfn.PERCENTILE.INC(B2:B68, 0.4)</f>
        <v>1.9796</v>
      </c>
      <c r="I2">
        <f>_xlfn.PERCENTILE.INC(B2:B68, 0.6)</f>
        <v>3.5219999999999998</v>
      </c>
      <c r="J2">
        <f>_xlfn.PERCENTILE.INC(B2:B68, 0.8)</f>
        <v>5.5756000000000006</v>
      </c>
      <c r="K2">
        <f>_xlfn.PERCENTILE.INC(B2:B68, 1)</f>
        <v>39.9</v>
      </c>
    </row>
    <row r="6" spans="1:11" x14ac:dyDescent="0.2">
      <c r="E6" t="s">
        <v>257</v>
      </c>
      <c r="F6" t="s">
        <v>268</v>
      </c>
      <c r="G6" t="s">
        <v>286</v>
      </c>
      <c r="H6" t="s">
        <v>287</v>
      </c>
      <c r="I6" t="s">
        <v>288</v>
      </c>
      <c r="J6" t="s">
        <v>289</v>
      </c>
    </row>
    <row r="7" spans="1:11" x14ac:dyDescent="0.2">
      <c r="F7">
        <v>5</v>
      </c>
      <c r="G7">
        <v>4</v>
      </c>
      <c r="H7">
        <v>3</v>
      </c>
      <c r="I7">
        <v>2</v>
      </c>
      <c r="J7">
        <v>1</v>
      </c>
    </row>
    <row r="8" spans="1:11" x14ac:dyDescent="0.2">
      <c r="A8" s="2" t="s">
        <v>25</v>
      </c>
      <c r="B8" s="45" t="s">
        <v>26</v>
      </c>
      <c r="C8" s="45"/>
    </row>
    <row r="9" spans="1:11" x14ac:dyDescent="0.2">
      <c r="A9" t="s">
        <v>31</v>
      </c>
      <c r="B9" s="17">
        <v>13</v>
      </c>
      <c r="C9">
        <v>1</v>
      </c>
    </row>
    <row r="10" spans="1:11" x14ac:dyDescent="0.2">
      <c r="A10" t="s">
        <v>32</v>
      </c>
      <c r="B10">
        <v>8.4499999999999993</v>
      </c>
      <c r="C10">
        <v>1</v>
      </c>
    </row>
    <row r="11" spans="1:11" x14ac:dyDescent="0.2">
      <c r="A11" t="s">
        <v>33</v>
      </c>
      <c r="B11">
        <v>3.41</v>
      </c>
      <c r="C11">
        <v>3</v>
      </c>
    </row>
    <row r="12" spans="1:11" x14ac:dyDescent="0.2">
      <c r="A12" t="s">
        <v>34</v>
      </c>
      <c r="B12">
        <v>4.8099999999999996</v>
      </c>
      <c r="C12">
        <v>2</v>
      </c>
    </row>
    <row r="13" spans="1:11" x14ac:dyDescent="0.2">
      <c r="A13" t="s">
        <v>35</v>
      </c>
      <c r="B13">
        <v>13.82</v>
      </c>
      <c r="C13">
        <v>1</v>
      </c>
    </row>
    <row r="14" spans="1:11" x14ac:dyDescent="0.2">
      <c r="A14" t="s">
        <v>36</v>
      </c>
      <c r="B14">
        <v>39.9</v>
      </c>
      <c r="C14">
        <v>1</v>
      </c>
    </row>
    <row r="15" spans="1:11" x14ac:dyDescent="0.2">
      <c r="A15" t="s">
        <v>37</v>
      </c>
      <c r="B15" s="17">
        <v>0</v>
      </c>
      <c r="C15">
        <v>5</v>
      </c>
    </row>
    <row r="16" spans="1:11" x14ac:dyDescent="0.2">
      <c r="A16" t="s">
        <v>38</v>
      </c>
      <c r="B16">
        <v>4.08</v>
      </c>
      <c r="C16">
        <v>2</v>
      </c>
    </row>
    <row r="17" spans="1:3" x14ac:dyDescent="0.2">
      <c r="A17" t="s">
        <v>39</v>
      </c>
      <c r="B17">
        <v>1.27</v>
      </c>
      <c r="C17">
        <v>5</v>
      </c>
    </row>
    <row r="18" spans="1:3" x14ac:dyDescent="0.2">
      <c r="A18" t="s">
        <v>40</v>
      </c>
      <c r="B18">
        <v>6.69</v>
      </c>
      <c r="C18">
        <v>1</v>
      </c>
    </row>
    <row r="19" spans="1:3" x14ac:dyDescent="0.2">
      <c r="A19" t="s">
        <v>41</v>
      </c>
      <c r="B19" s="17">
        <v>0</v>
      </c>
      <c r="C19">
        <v>5</v>
      </c>
    </row>
    <row r="20" spans="1:3" x14ac:dyDescent="0.2">
      <c r="A20" t="s">
        <v>42</v>
      </c>
      <c r="B20">
        <v>3.23</v>
      </c>
      <c r="C20">
        <v>3</v>
      </c>
    </row>
    <row r="21" spans="1:3" x14ac:dyDescent="0.2">
      <c r="A21" t="s">
        <v>43</v>
      </c>
      <c r="B21">
        <v>3.22</v>
      </c>
      <c r="C21">
        <v>3</v>
      </c>
    </row>
    <row r="22" spans="1:3" x14ac:dyDescent="0.2">
      <c r="A22" t="s">
        <v>44</v>
      </c>
      <c r="B22">
        <v>1.97</v>
      </c>
      <c r="C22">
        <v>4</v>
      </c>
    </row>
    <row r="23" spans="1:3" x14ac:dyDescent="0.2">
      <c r="A23" t="s">
        <v>45</v>
      </c>
      <c r="B23">
        <v>2.16</v>
      </c>
      <c r="C23">
        <v>3</v>
      </c>
    </row>
    <row r="24" spans="1:3" x14ac:dyDescent="0.2">
      <c r="A24" t="s">
        <v>46</v>
      </c>
      <c r="B24">
        <v>0.66</v>
      </c>
      <c r="C24">
        <v>5</v>
      </c>
    </row>
    <row r="25" spans="1:3" x14ac:dyDescent="0.2">
      <c r="A25" t="s">
        <v>47</v>
      </c>
      <c r="B25">
        <v>1.35</v>
      </c>
      <c r="C25">
        <v>5</v>
      </c>
    </row>
    <row r="26" spans="1:3" x14ac:dyDescent="0.2">
      <c r="A26" t="s">
        <v>48</v>
      </c>
      <c r="B26">
        <v>1.91</v>
      </c>
      <c r="C26">
        <v>4</v>
      </c>
    </row>
    <row r="27" spans="1:3" x14ac:dyDescent="0.2">
      <c r="A27" t="s">
        <v>49</v>
      </c>
      <c r="B27">
        <v>3.4</v>
      </c>
      <c r="C27">
        <v>3</v>
      </c>
    </row>
    <row r="28" spans="1:3" x14ac:dyDescent="0.2">
      <c r="A28" t="s">
        <v>50</v>
      </c>
      <c r="B28">
        <v>1.77</v>
      </c>
      <c r="C28">
        <v>4</v>
      </c>
    </row>
    <row r="29" spans="1:3" x14ac:dyDescent="0.2">
      <c r="A29" t="s">
        <v>51</v>
      </c>
      <c r="B29">
        <v>4</v>
      </c>
      <c r="C29">
        <v>2</v>
      </c>
    </row>
    <row r="30" spans="1:3" x14ac:dyDescent="0.2">
      <c r="A30" t="s">
        <v>52</v>
      </c>
      <c r="B30">
        <f>100*0.072</f>
        <v>7.1999999999999993</v>
      </c>
      <c r="C30">
        <v>1</v>
      </c>
    </row>
    <row r="31" spans="1:3" x14ac:dyDescent="0.2">
      <c r="A31" t="s">
        <v>53</v>
      </c>
      <c r="B31">
        <f>100*0.05172</f>
        <v>5.1720000000000006</v>
      </c>
      <c r="C31">
        <v>2</v>
      </c>
    </row>
    <row r="32" spans="1:3" x14ac:dyDescent="0.2">
      <c r="A32" t="s">
        <v>54</v>
      </c>
      <c r="B32">
        <f>100*0.08136</f>
        <v>8.136000000000001</v>
      </c>
      <c r="C32">
        <v>1</v>
      </c>
    </row>
    <row r="33" spans="1:3" x14ac:dyDescent="0.2">
      <c r="A33" t="s">
        <v>55</v>
      </c>
      <c r="B33">
        <f>100*0.00454</f>
        <v>0.45399999999999996</v>
      </c>
      <c r="C33">
        <v>5</v>
      </c>
    </row>
    <row r="34" spans="1:3" x14ac:dyDescent="0.2">
      <c r="A34" t="s">
        <v>56</v>
      </c>
      <c r="B34">
        <f>100*0.03116</f>
        <v>3.1160000000000001</v>
      </c>
      <c r="C34">
        <v>3</v>
      </c>
    </row>
    <row r="35" spans="1:3" x14ac:dyDescent="0.2">
      <c r="A35" t="s">
        <v>57</v>
      </c>
      <c r="B35">
        <f>100*0.06666</f>
        <v>6.6659999999999995</v>
      </c>
      <c r="C35">
        <v>1</v>
      </c>
    </row>
    <row r="36" spans="1:3" x14ac:dyDescent="0.2">
      <c r="A36" t="s">
        <v>58</v>
      </c>
      <c r="B36">
        <f>100*0.06228</f>
        <v>6.2279999999999998</v>
      </c>
      <c r="C36">
        <v>1</v>
      </c>
    </row>
    <row r="37" spans="1:3" x14ac:dyDescent="0.2">
      <c r="A37" t="s">
        <v>59</v>
      </c>
      <c r="B37">
        <f>100*0.0049</f>
        <v>0.49</v>
      </c>
      <c r="C37">
        <v>5</v>
      </c>
    </row>
    <row r="38" spans="1:3" x14ac:dyDescent="0.2">
      <c r="A38" t="s">
        <v>60</v>
      </c>
      <c r="B38">
        <f>100*0.0175</f>
        <v>1.7500000000000002</v>
      </c>
      <c r="C38">
        <v>4</v>
      </c>
    </row>
    <row r="39" spans="1:3" x14ac:dyDescent="0.2">
      <c r="A39" t="s">
        <v>61</v>
      </c>
      <c r="B39">
        <f>100*0.01988</f>
        <v>1.9879999999999998</v>
      </c>
      <c r="C39">
        <v>3</v>
      </c>
    </row>
    <row r="40" spans="1:3" x14ac:dyDescent="0.2">
      <c r="A40" t="s">
        <v>62</v>
      </c>
      <c r="B40">
        <f>100*0.0244</f>
        <v>2.44</v>
      </c>
      <c r="C40">
        <v>3</v>
      </c>
    </row>
    <row r="41" spans="1:3" x14ac:dyDescent="0.2">
      <c r="A41" t="s">
        <v>63</v>
      </c>
      <c r="B41">
        <f>100*0.0466</f>
        <v>4.66</v>
      </c>
      <c r="C41">
        <v>2</v>
      </c>
    </row>
    <row r="42" spans="1:3" x14ac:dyDescent="0.2">
      <c r="A42" t="s">
        <v>64</v>
      </c>
      <c r="B42">
        <f>100*0.0071</f>
        <v>0.71000000000000008</v>
      </c>
      <c r="C42">
        <v>5</v>
      </c>
    </row>
    <row r="43" spans="1:3" x14ac:dyDescent="0.2">
      <c r="A43" t="s">
        <v>65</v>
      </c>
      <c r="B43">
        <f>100*0.0456</f>
        <v>4.5600000000000005</v>
      </c>
      <c r="C43">
        <v>2</v>
      </c>
    </row>
    <row r="44" spans="1:3" x14ac:dyDescent="0.2">
      <c r="A44" t="s">
        <v>66</v>
      </c>
      <c r="B44">
        <f>100*0.052</f>
        <v>5.2</v>
      </c>
      <c r="C44">
        <v>2</v>
      </c>
    </row>
    <row r="45" spans="1:3" x14ac:dyDescent="0.2">
      <c r="A45" t="s">
        <v>67</v>
      </c>
      <c r="B45">
        <f>100*0.054</f>
        <v>5.4</v>
      </c>
      <c r="C45">
        <v>2</v>
      </c>
    </row>
    <row r="46" spans="1:3" x14ac:dyDescent="0.2">
      <c r="A46" t="s">
        <v>68</v>
      </c>
      <c r="B46">
        <f>100*0.05156</f>
        <v>5.1560000000000006</v>
      </c>
      <c r="C46">
        <v>2</v>
      </c>
    </row>
    <row r="47" spans="1:3" x14ac:dyDescent="0.2">
      <c r="A47" t="s">
        <v>69</v>
      </c>
      <c r="B47">
        <f>100*0.07282</f>
        <v>7.282</v>
      </c>
      <c r="C47">
        <v>1</v>
      </c>
    </row>
    <row r="48" spans="1:3" x14ac:dyDescent="0.2">
      <c r="A48" t="s">
        <v>70</v>
      </c>
      <c r="B48">
        <f>100*0.11544</f>
        <v>11.544</v>
      </c>
      <c r="C48">
        <v>1</v>
      </c>
    </row>
    <row r="49" spans="1:3" x14ac:dyDescent="0.2">
      <c r="A49" t="s">
        <v>71</v>
      </c>
      <c r="B49">
        <f>100*0.05504</f>
        <v>5.5039999999999996</v>
      </c>
      <c r="C49">
        <v>2</v>
      </c>
    </row>
    <row r="50" spans="1:3" x14ac:dyDescent="0.2">
      <c r="A50" t="s">
        <v>72</v>
      </c>
      <c r="B50">
        <v>1.7</v>
      </c>
      <c r="C50">
        <v>5</v>
      </c>
    </row>
    <row r="51" spans="1:3" x14ac:dyDescent="0.2">
      <c r="A51" t="s">
        <v>73</v>
      </c>
      <c r="B51">
        <v>1.7</v>
      </c>
      <c r="C51">
        <v>5</v>
      </c>
    </row>
    <row r="52" spans="1:3" x14ac:dyDescent="0.2">
      <c r="A52" t="s">
        <v>74</v>
      </c>
      <c r="B52">
        <v>2.9060000000000001</v>
      </c>
      <c r="C52">
        <v>3</v>
      </c>
    </row>
    <row r="53" spans="1:3" x14ac:dyDescent="0.2">
      <c r="A53" t="s">
        <v>75</v>
      </c>
      <c r="B53">
        <v>1.7</v>
      </c>
      <c r="C53">
        <v>5</v>
      </c>
    </row>
    <row r="54" spans="1:3" x14ac:dyDescent="0.2">
      <c r="A54" t="s">
        <v>76</v>
      </c>
      <c r="B54">
        <v>1.7</v>
      </c>
      <c r="C54">
        <v>5</v>
      </c>
    </row>
    <row r="55" spans="1:3" x14ac:dyDescent="0.2">
      <c r="A55" t="s">
        <v>77</v>
      </c>
      <c r="B55">
        <v>1.7</v>
      </c>
      <c r="C55">
        <v>5</v>
      </c>
    </row>
    <row r="56" spans="1:3" x14ac:dyDescent="0.2">
      <c r="A56" t="s">
        <v>78</v>
      </c>
      <c r="B56">
        <v>1.7</v>
      </c>
      <c r="C56">
        <v>5</v>
      </c>
    </row>
    <row r="57" spans="1:3" x14ac:dyDescent="0.2">
      <c r="A57" t="s">
        <v>79</v>
      </c>
      <c r="B57">
        <v>5.8620000000000001</v>
      </c>
      <c r="C57">
        <v>1</v>
      </c>
    </row>
    <row r="58" spans="1:3" x14ac:dyDescent="0.2">
      <c r="A58" t="s">
        <v>80</v>
      </c>
      <c r="B58">
        <v>1.986</v>
      </c>
      <c r="C58">
        <v>3</v>
      </c>
    </row>
    <row r="59" spans="1:3" x14ac:dyDescent="0.2">
      <c r="A59" t="s">
        <v>81</v>
      </c>
      <c r="B59">
        <v>0.94599999999999995</v>
      </c>
      <c r="C59">
        <v>5</v>
      </c>
    </row>
    <row r="60" spans="1:3" x14ac:dyDescent="0.2">
      <c r="A60" t="s">
        <v>82</v>
      </c>
      <c r="B60">
        <v>1.7</v>
      </c>
      <c r="C60">
        <v>5</v>
      </c>
    </row>
    <row r="61" spans="1:3" x14ac:dyDescent="0.2">
      <c r="A61" t="s">
        <v>83</v>
      </c>
      <c r="B61">
        <v>4.0419999999999998</v>
      </c>
      <c r="C61">
        <v>2</v>
      </c>
    </row>
    <row r="62" spans="1:3" x14ac:dyDescent="0.2">
      <c r="A62" t="s">
        <v>84</v>
      </c>
      <c r="B62">
        <v>1.7</v>
      </c>
      <c r="C62">
        <v>5</v>
      </c>
    </row>
    <row r="63" spans="1:3" x14ac:dyDescent="0.2">
      <c r="A63" t="s">
        <v>85</v>
      </c>
      <c r="B63">
        <v>3.69</v>
      </c>
      <c r="C63">
        <v>2</v>
      </c>
    </row>
    <row r="64" spans="1:3" x14ac:dyDescent="0.2">
      <c r="A64" t="s">
        <v>86</v>
      </c>
      <c r="B64">
        <v>1.7</v>
      </c>
      <c r="C64">
        <v>5</v>
      </c>
    </row>
    <row r="65" spans="1:3" x14ac:dyDescent="0.2">
      <c r="A65" t="s">
        <v>87</v>
      </c>
      <c r="B65">
        <v>2.452</v>
      </c>
      <c r="C65">
        <v>3</v>
      </c>
    </row>
    <row r="66" spans="1:3" x14ac:dyDescent="0.2">
      <c r="A66" t="s">
        <v>88</v>
      </c>
      <c r="B66">
        <v>0</v>
      </c>
      <c r="C66">
        <v>5</v>
      </c>
    </row>
    <row r="67" spans="1:3" x14ac:dyDescent="0.2">
      <c r="A67" t="s">
        <v>89</v>
      </c>
      <c r="B67">
        <v>2.63</v>
      </c>
      <c r="C67">
        <v>3</v>
      </c>
    </row>
    <row r="68" spans="1:3" x14ac:dyDescent="0.2">
      <c r="A68" t="s">
        <v>90</v>
      </c>
      <c r="B68">
        <v>1.526</v>
      </c>
      <c r="C68">
        <v>5</v>
      </c>
    </row>
  </sheetData>
  <mergeCells count="1">
    <mergeCell ref="B8:C8"/>
  </mergeCell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75FEA8-2F71-489A-8301-687E25D121B8}">
  <dimension ref="A1:H191"/>
  <sheetViews>
    <sheetView tabSelected="1" workbookViewId="0">
      <selection activeCell="M6" sqref="M6"/>
    </sheetView>
  </sheetViews>
  <sheetFormatPr baseColWidth="10" defaultColWidth="8.83203125" defaultRowHeight="15" x14ac:dyDescent="0.2"/>
  <cols>
    <col min="1" max="8" width="14" customWidth="1"/>
  </cols>
  <sheetData>
    <row r="1" spans="1:8" x14ac:dyDescent="0.2">
      <c r="A1" t="s">
        <v>250</v>
      </c>
      <c r="B1">
        <v>185</v>
      </c>
      <c r="C1">
        <v>28.39</v>
      </c>
      <c r="E1" t="s">
        <v>290</v>
      </c>
      <c r="F1" t="s">
        <v>265</v>
      </c>
      <c r="G1" t="s">
        <v>291</v>
      </c>
      <c r="H1" t="s">
        <v>292</v>
      </c>
    </row>
    <row r="2" spans="1:8" x14ac:dyDescent="0.2">
      <c r="A2" t="s">
        <v>171</v>
      </c>
      <c r="B2">
        <v>63</v>
      </c>
      <c r="C2">
        <v>53.2</v>
      </c>
      <c r="E2">
        <v>37.99</v>
      </c>
      <c r="F2">
        <v>45.85</v>
      </c>
      <c r="G2">
        <v>50.75</v>
      </c>
      <c r="H2">
        <v>57.14</v>
      </c>
    </row>
    <row r="3" spans="1:8" x14ac:dyDescent="0.2">
      <c r="A3" t="s">
        <v>199</v>
      </c>
      <c r="B3">
        <v>134</v>
      </c>
      <c r="C3">
        <v>42.26</v>
      </c>
    </row>
    <row r="4" spans="1:8" x14ac:dyDescent="0.2">
      <c r="A4" t="s">
        <v>293</v>
      </c>
      <c r="B4">
        <v>41</v>
      </c>
      <c r="C4">
        <v>56.21</v>
      </c>
      <c r="D4" t="s">
        <v>115</v>
      </c>
      <c r="E4" t="s">
        <v>294</v>
      </c>
      <c r="F4" t="s">
        <v>295</v>
      </c>
      <c r="G4" t="s">
        <v>296</v>
      </c>
      <c r="H4" t="s">
        <v>297</v>
      </c>
    </row>
    <row r="5" spans="1:8" x14ac:dyDescent="0.2">
      <c r="A5" t="s">
        <v>188</v>
      </c>
      <c r="B5">
        <v>144</v>
      </c>
      <c r="C5">
        <v>39.31</v>
      </c>
      <c r="E5">
        <v>1</v>
      </c>
      <c r="F5">
        <v>2</v>
      </c>
      <c r="G5">
        <v>3</v>
      </c>
      <c r="H5">
        <v>4</v>
      </c>
    </row>
    <row r="6" spans="1:8" x14ac:dyDescent="0.2">
      <c r="A6" t="s">
        <v>298</v>
      </c>
      <c r="B6">
        <v>53</v>
      </c>
      <c r="C6">
        <v>54.42</v>
      </c>
    </row>
    <row r="7" spans="1:8" x14ac:dyDescent="0.2">
      <c r="A7" t="s">
        <v>52</v>
      </c>
      <c r="B7">
        <v>47</v>
      </c>
      <c r="C7">
        <v>55.79</v>
      </c>
    </row>
    <row r="8" spans="1:8" x14ac:dyDescent="0.2">
      <c r="A8" t="s">
        <v>140</v>
      </c>
      <c r="B8">
        <v>48</v>
      </c>
      <c r="C8">
        <v>55.22</v>
      </c>
    </row>
    <row r="9" spans="1:8" x14ac:dyDescent="0.2">
      <c r="A9" t="s">
        <v>197</v>
      </c>
      <c r="B9">
        <v>15</v>
      </c>
      <c r="C9">
        <v>65.7</v>
      </c>
    </row>
    <row r="10" spans="1:8" x14ac:dyDescent="0.2">
      <c r="A10" t="s">
        <v>141</v>
      </c>
      <c r="B10">
        <v>11</v>
      </c>
      <c r="C10">
        <v>66.680000000000007</v>
      </c>
    </row>
    <row r="11" spans="1:8" x14ac:dyDescent="0.2">
      <c r="A11" t="s">
        <v>172</v>
      </c>
      <c r="B11">
        <v>147</v>
      </c>
      <c r="C11">
        <v>38.909999999999997</v>
      </c>
    </row>
    <row r="12" spans="1:8" x14ac:dyDescent="0.2">
      <c r="A12" t="s">
        <v>33</v>
      </c>
      <c r="B12">
        <v>67</v>
      </c>
      <c r="C12">
        <v>52.49</v>
      </c>
    </row>
    <row r="13" spans="1:8" x14ac:dyDescent="0.2">
      <c r="A13" t="s">
        <v>235</v>
      </c>
      <c r="B13">
        <v>139</v>
      </c>
      <c r="C13">
        <v>40.49</v>
      </c>
    </row>
    <row r="14" spans="1:8" x14ac:dyDescent="0.2">
      <c r="A14" t="s">
        <v>212</v>
      </c>
      <c r="B14">
        <v>132</v>
      </c>
      <c r="C14">
        <v>42.43</v>
      </c>
      <c r="F14" t="s">
        <v>299</v>
      </c>
    </row>
    <row r="15" spans="1:8" x14ac:dyDescent="0.2">
      <c r="A15" t="s">
        <v>34</v>
      </c>
      <c r="B15">
        <v>57</v>
      </c>
      <c r="C15">
        <v>54.03</v>
      </c>
    </row>
    <row r="16" spans="1:8" x14ac:dyDescent="0.2">
      <c r="A16" t="s">
        <v>133</v>
      </c>
      <c r="B16">
        <v>112</v>
      </c>
      <c r="C16">
        <v>46.17</v>
      </c>
    </row>
    <row r="17" spans="1:3" x14ac:dyDescent="0.2">
      <c r="A17" t="s">
        <v>72</v>
      </c>
      <c r="B17">
        <v>10</v>
      </c>
      <c r="C17">
        <v>66.81</v>
      </c>
    </row>
    <row r="18" spans="1:3" x14ac:dyDescent="0.2">
      <c r="A18" t="s">
        <v>35</v>
      </c>
      <c r="B18">
        <v>98</v>
      </c>
      <c r="C18">
        <v>47.78</v>
      </c>
    </row>
    <row r="19" spans="1:3" x14ac:dyDescent="0.2">
      <c r="A19" t="s">
        <v>196</v>
      </c>
      <c r="B19">
        <v>140</v>
      </c>
      <c r="C19">
        <v>40.47</v>
      </c>
    </row>
    <row r="20" spans="1:3" x14ac:dyDescent="0.2">
      <c r="A20" t="s">
        <v>232</v>
      </c>
      <c r="B20">
        <v>34</v>
      </c>
      <c r="C20">
        <v>58.42</v>
      </c>
    </row>
    <row r="21" spans="1:3" x14ac:dyDescent="0.2">
      <c r="A21" t="s">
        <v>53</v>
      </c>
      <c r="B21">
        <v>101</v>
      </c>
      <c r="C21">
        <v>47.48</v>
      </c>
    </row>
    <row r="22" spans="1:3" x14ac:dyDescent="0.2">
      <c r="A22" t="s">
        <v>300</v>
      </c>
      <c r="B22">
        <v>58</v>
      </c>
      <c r="C22">
        <v>53.84</v>
      </c>
    </row>
    <row r="23" spans="1:3" x14ac:dyDescent="0.2">
      <c r="A23" t="s">
        <v>186</v>
      </c>
      <c r="B23">
        <v>84</v>
      </c>
      <c r="C23">
        <v>49.96</v>
      </c>
    </row>
    <row r="24" spans="1:3" x14ac:dyDescent="0.2">
      <c r="A24" t="s">
        <v>54</v>
      </c>
      <c r="B24">
        <v>73</v>
      </c>
      <c r="C24">
        <v>51.53</v>
      </c>
    </row>
    <row r="25" spans="1:3" x14ac:dyDescent="0.2">
      <c r="A25" t="s">
        <v>301</v>
      </c>
      <c r="B25">
        <v>109</v>
      </c>
      <c r="C25">
        <v>46.26</v>
      </c>
    </row>
    <row r="26" spans="1:3" x14ac:dyDescent="0.2">
      <c r="A26" t="s">
        <v>73</v>
      </c>
      <c r="B26">
        <v>23</v>
      </c>
      <c r="C26">
        <v>62.42</v>
      </c>
    </row>
    <row r="27" spans="1:3" x14ac:dyDescent="0.2">
      <c r="A27" t="s">
        <v>192</v>
      </c>
      <c r="B27">
        <v>170</v>
      </c>
      <c r="C27">
        <v>33.450000000000003</v>
      </c>
    </row>
    <row r="28" spans="1:3" x14ac:dyDescent="0.2">
      <c r="A28" t="s">
        <v>214</v>
      </c>
      <c r="B28">
        <v>176</v>
      </c>
      <c r="C28">
        <v>31.97</v>
      </c>
    </row>
    <row r="29" spans="1:3" x14ac:dyDescent="0.2">
      <c r="A29" t="s">
        <v>163</v>
      </c>
      <c r="B29">
        <v>79</v>
      </c>
      <c r="C29">
        <v>50.55</v>
      </c>
    </row>
    <row r="30" spans="1:3" x14ac:dyDescent="0.2">
      <c r="A30" t="s">
        <v>142</v>
      </c>
      <c r="B30">
        <v>129</v>
      </c>
      <c r="C30">
        <v>42.77</v>
      </c>
    </row>
    <row r="31" spans="1:3" x14ac:dyDescent="0.2">
      <c r="A31" t="s">
        <v>207</v>
      </c>
      <c r="B31">
        <v>180</v>
      </c>
      <c r="C31">
        <v>31.17</v>
      </c>
    </row>
    <row r="32" spans="1:3" x14ac:dyDescent="0.2">
      <c r="A32" t="s">
        <v>184</v>
      </c>
      <c r="B32">
        <v>33</v>
      </c>
      <c r="C32">
        <v>59.38</v>
      </c>
    </row>
    <row r="33" spans="1:3" x14ac:dyDescent="0.2">
      <c r="A33" t="s">
        <v>201</v>
      </c>
      <c r="B33">
        <v>187</v>
      </c>
      <c r="C33">
        <v>27.14</v>
      </c>
    </row>
    <row r="34" spans="1:3" x14ac:dyDescent="0.2">
      <c r="A34" t="s">
        <v>164</v>
      </c>
      <c r="B34">
        <v>190</v>
      </c>
      <c r="C34">
        <v>25.2</v>
      </c>
    </row>
    <row r="35" spans="1:3" x14ac:dyDescent="0.2">
      <c r="A35" t="s">
        <v>55</v>
      </c>
      <c r="B35">
        <v>31</v>
      </c>
      <c r="C35">
        <v>60.06</v>
      </c>
    </row>
    <row r="36" spans="1:3" x14ac:dyDescent="0.2">
      <c r="A36" t="s">
        <v>74</v>
      </c>
      <c r="B36">
        <v>61</v>
      </c>
      <c r="C36">
        <v>53.68</v>
      </c>
    </row>
    <row r="37" spans="1:3" x14ac:dyDescent="0.2">
      <c r="A37" t="s">
        <v>56</v>
      </c>
      <c r="B37">
        <v>119</v>
      </c>
      <c r="C37">
        <v>44.85</v>
      </c>
    </row>
    <row r="38" spans="1:3" x14ac:dyDescent="0.2">
      <c r="A38" t="s">
        <v>198</v>
      </c>
      <c r="B38">
        <v>179</v>
      </c>
      <c r="C38">
        <v>31.64</v>
      </c>
    </row>
    <row r="39" spans="1:3" x14ac:dyDescent="0.2">
      <c r="A39" t="s">
        <v>302</v>
      </c>
      <c r="B39">
        <v>174</v>
      </c>
      <c r="C39">
        <v>32.1</v>
      </c>
    </row>
    <row r="40" spans="1:3" x14ac:dyDescent="0.2">
      <c r="A40" t="s">
        <v>303</v>
      </c>
      <c r="B40">
        <v>171</v>
      </c>
      <c r="C40">
        <v>33.14</v>
      </c>
    </row>
    <row r="41" spans="1:3" x14ac:dyDescent="0.2">
      <c r="A41" t="s">
        <v>39</v>
      </c>
      <c r="B41">
        <v>44</v>
      </c>
      <c r="C41">
        <v>55.94</v>
      </c>
    </row>
    <row r="42" spans="1:3" x14ac:dyDescent="0.2">
      <c r="A42" t="s">
        <v>304</v>
      </c>
      <c r="B42">
        <v>138</v>
      </c>
      <c r="C42">
        <v>41.19</v>
      </c>
    </row>
    <row r="43" spans="1:3" x14ac:dyDescent="0.2">
      <c r="A43" t="s">
        <v>145</v>
      </c>
      <c r="B43">
        <v>28</v>
      </c>
      <c r="C43">
        <v>60.96</v>
      </c>
    </row>
    <row r="44" spans="1:3" x14ac:dyDescent="0.2">
      <c r="A44" t="s">
        <v>40</v>
      </c>
      <c r="B44">
        <v>90</v>
      </c>
      <c r="C44">
        <v>48.8</v>
      </c>
    </row>
    <row r="45" spans="1:3" x14ac:dyDescent="0.2">
      <c r="A45" t="s">
        <v>123</v>
      </c>
      <c r="B45">
        <v>42</v>
      </c>
      <c r="C45">
        <v>56.17</v>
      </c>
    </row>
    <row r="46" spans="1:3" x14ac:dyDescent="0.2">
      <c r="A46" t="s">
        <v>305</v>
      </c>
      <c r="B46">
        <v>37</v>
      </c>
      <c r="C46">
        <v>57.75</v>
      </c>
    </row>
    <row r="47" spans="1:3" x14ac:dyDescent="0.2">
      <c r="A47" t="s">
        <v>75</v>
      </c>
      <c r="B47">
        <v>2</v>
      </c>
      <c r="C47">
        <v>71.459999999999994</v>
      </c>
    </row>
    <row r="48" spans="1:3" x14ac:dyDescent="0.2">
      <c r="A48" t="s">
        <v>111</v>
      </c>
      <c r="B48">
        <v>166</v>
      </c>
      <c r="C48">
        <v>33.909999999999997</v>
      </c>
    </row>
    <row r="49" spans="1:3" x14ac:dyDescent="0.2">
      <c r="A49" t="s">
        <v>42</v>
      </c>
      <c r="B49">
        <v>65</v>
      </c>
      <c r="C49">
        <v>52.86</v>
      </c>
    </row>
    <row r="50" spans="1:3" x14ac:dyDescent="0.2">
      <c r="A50" t="s">
        <v>43</v>
      </c>
      <c r="B50">
        <v>87</v>
      </c>
      <c r="C50">
        <v>49.51</v>
      </c>
    </row>
    <row r="51" spans="1:3" x14ac:dyDescent="0.2">
      <c r="A51" t="s">
        <v>57</v>
      </c>
      <c r="B51">
        <v>86</v>
      </c>
      <c r="C51">
        <v>49.51</v>
      </c>
    </row>
    <row r="52" spans="1:3" x14ac:dyDescent="0.2">
      <c r="A52" t="s">
        <v>206</v>
      </c>
      <c r="B52">
        <v>152</v>
      </c>
      <c r="C52">
        <v>38.369999999999997</v>
      </c>
    </row>
    <row r="53" spans="1:3" x14ac:dyDescent="0.2">
      <c r="A53" t="s">
        <v>44</v>
      </c>
      <c r="B53">
        <v>123</v>
      </c>
      <c r="C53">
        <v>44.34</v>
      </c>
    </row>
    <row r="54" spans="1:3" x14ac:dyDescent="0.2">
      <c r="A54" t="s">
        <v>168</v>
      </c>
      <c r="B54">
        <v>188</v>
      </c>
      <c r="C54">
        <v>27.05</v>
      </c>
    </row>
    <row r="55" spans="1:3" x14ac:dyDescent="0.2">
      <c r="A55" t="s">
        <v>306</v>
      </c>
      <c r="B55">
        <v>189</v>
      </c>
      <c r="C55">
        <v>25.66</v>
      </c>
    </row>
    <row r="56" spans="1:3" x14ac:dyDescent="0.2">
      <c r="A56" t="s">
        <v>127</v>
      </c>
      <c r="B56">
        <v>4</v>
      </c>
      <c r="C56">
        <v>69.22</v>
      </c>
    </row>
    <row r="57" spans="1:3" x14ac:dyDescent="0.2">
      <c r="A57" t="s">
        <v>246</v>
      </c>
      <c r="B57">
        <v>162</v>
      </c>
      <c r="C57">
        <v>35.450000000000003</v>
      </c>
    </row>
    <row r="58" spans="1:3" x14ac:dyDescent="0.2">
      <c r="A58" t="s">
        <v>216</v>
      </c>
      <c r="B58">
        <v>160</v>
      </c>
      <c r="C58">
        <v>36.54</v>
      </c>
    </row>
    <row r="59" spans="1:3" x14ac:dyDescent="0.2">
      <c r="A59" t="s">
        <v>138</v>
      </c>
      <c r="B59">
        <v>103</v>
      </c>
      <c r="C59">
        <v>46.63</v>
      </c>
    </row>
    <row r="60" spans="1:3" x14ac:dyDescent="0.2">
      <c r="A60" t="s">
        <v>76</v>
      </c>
      <c r="B60">
        <v>3</v>
      </c>
      <c r="C60">
        <v>70.56</v>
      </c>
    </row>
    <row r="61" spans="1:3" x14ac:dyDescent="0.2">
      <c r="A61" t="s">
        <v>77</v>
      </c>
      <c r="B61">
        <v>12</v>
      </c>
      <c r="C61">
        <v>66.489999999999995</v>
      </c>
    </row>
    <row r="62" spans="1:3" x14ac:dyDescent="0.2">
      <c r="A62" t="s">
        <v>177</v>
      </c>
      <c r="B62">
        <v>143</v>
      </c>
      <c r="C62">
        <v>39.54</v>
      </c>
    </row>
    <row r="63" spans="1:3" x14ac:dyDescent="0.2">
      <c r="A63" t="s">
        <v>205</v>
      </c>
      <c r="B63">
        <v>136</v>
      </c>
      <c r="C63">
        <v>41.52</v>
      </c>
    </row>
    <row r="64" spans="1:3" x14ac:dyDescent="0.2">
      <c r="A64" t="s">
        <v>151</v>
      </c>
      <c r="B64">
        <v>55</v>
      </c>
      <c r="C64">
        <v>54.31</v>
      </c>
    </row>
    <row r="65" spans="1:3" x14ac:dyDescent="0.2">
      <c r="A65" t="s">
        <v>78</v>
      </c>
      <c r="B65">
        <v>6</v>
      </c>
      <c r="C65">
        <v>68.62</v>
      </c>
    </row>
    <row r="66" spans="1:3" x14ac:dyDescent="0.2">
      <c r="A66" t="s">
        <v>182</v>
      </c>
      <c r="B66">
        <v>128</v>
      </c>
      <c r="C66">
        <v>42.85</v>
      </c>
    </row>
    <row r="67" spans="1:3" x14ac:dyDescent="0.2">
      <c r="A67" t="s">
        <v>160</v>
      </c>
      <c r="B67">
        <v>27</v>
      </c>
      <c r="C67">
        <v>60.98</v>
      </c>
    </row>
    <row r="68" spans="1:3" x14ac:dyDescent="0.2">
      <c r="A68" t="s">
        <v>45</v>
      </c>
      <c r="B68">
        <v>60</v>
      </c>
      <c r="C68">
        <v>53.73</v>
      </c>
    </row>
    <row r="69" spans="1:3" x14ac:dyDescent="0.2">
      <c r="A69" t="s">
        <v>46</v>
      </c>
      <c r="B69">
        <v>137</v>
      </c>
      <c r="C69">
        <v>41.28</v>
      </c>
    </row>
    <row r="70" spans="1:3" x14ac:dyDescent="0.2">
      <c r="A70" t="s">
        <v>183</v>
      </c>
      <c r="B70">
        <v>181</v>
      </c>
      <c r="C70">
        <v>30.91</v>
      </c>
    </row>
    <row r="71" spans="1:3" x14ac:dyDescent="0.2">
      <c r="A71" t="s">
        <v>200</v>
      </c>
      <c r="B71">
        <v>175</v>
      </c>
      <c r="C71">
        <v>32.020000000000003</v>
      </c>
    </row>
    <row r="72" spans="1:3" x14ac:dyDescent="0.2">
      <c r="A72" t="s">
        <v>58</v>
      </c>
      <c r="B72">
        <v>121</v>
      </c>
      <c r="C72">
        <v>44.56</v>
      </c>
    </row>
    <row r="73" spans="1:3" x14ac:dyDescent="0.2">
      <c r="A73" t="s">
        <v>47</v>
      </c>
      <c r="B73">
        <v>183</v>
      </c>
      <c r="C73">
        <v>29.34</v>
      </c>
    </row>
    <row r="74" spans="1:3" x14ac:dyDescent="0.2">
      <c r="A74" t="s">
        <v>48</v>
      </c>
      <c r="B74">
        <v>131</v>
      </c>
      <c r="C74">
        <v>42.52</v>
      </c>
    </row>
    <row r="75" spans="1:3" x14ac:dyDescent="0.2">
      <c r="A75" t="s">
        <v>126</v>
      </c>
      <c r="B75">
        <v>40</v>
      </c>
      <c r="C75">
        <v>56.42</v>
      </c>
    </row>
    <row r="76" spans="1:3" x14ac:dyDescent="0.2">
      <c r="A76" t="s">
        <v>169</v>
      </c>
      <c r="B76">
        <v>18</v>
      </c>
      <c r="C76">
        <v>64.55</v>
      </c>
    </row>
    <row r="77" spans="1:3" x14ac:dyDescent="0.2">
      <c r="A77" t="s">
        <v>79</v>
      </c>
      <c r="B77">
        <v>118</v>
      </c>
      <c r="C77">
        <v>45.41</v>
      </c>
    </row>
    <row r="78" spans="1:3" x14ac:dyDescent="0.2">
      <c r="A78" t="s">
        <v>80</v>
      </c>
      <c r="B78">
        <v>75</v>
      </c>
      <c r="C78">
        <v>50.87</v>
      </c>
    </row>
    <row r="79" spans="1:3" x14ac:dyDescent="0.2">
      <c r="A79" t="s">
        <v>195</v>
      </c>
      <c r="B79">
        <v>157</v>
      </c>
      <c r="C79">
        <v>37.36</v>
      </c>
    </row>
    <row r="80" spans="1:3" x14ac:dyDescent="0.2">
      <c r="A80" t="s">
        <v>227</v>
      </c>
      <c r="B80">
        <v>155</v>
      </c>
      <c r="C80">
        <v>37.659999999999997</v>
      </c>
    </row>
    <row r="81" spans="1:3" x14ac:dyDescent="0.2">
      <c r="A81" t="s">
        <v>114</v>
      </c>
      <c r="B81">
        <v>16</v>
      </c>
      <c r="C81">
        <v>65.33</v>
      </c>
    </row>
    <row r="82" spans="1:3" x14ac:dyDescent="0.2">
      <c r="A82" t="s">
        <v>81</v>
      </c>
      <c r="B82">
        <v>72</v>
      </c>
      <c r="C82">
        <v>51.54</v>
      </c>
    </row>
    <row r="83" spans="1:3" x14ac:dyDescent="0.2">
      <c r="A83" t="s">
        <v>82</v>
      </c>
      <c r="B83">
        <v>22</v>
      </c>
      <c r="C83">
        <v>62.72</v>
      </c>
    </row>
    <row r="84" spans="1:3" x14ac:dyDescent="0.2">
      <c r="A84" t="s">
        <v>49</v>
      </c>
      <c r="B84">
        <v>82</v>
      </c>
      <c r="C84">
        <v>50.28</v>
      </c>
    </row>
    <row r="85" spans="1:3" x14ac:dyDescent="0.2">
      <c r="A85" t="s">
        <v>247</v>
      </c>
      <c r="B85">
        <v>17</v>
      </c>
      <c r="C85">
        <v>65.14</v>
      </c>
    </row>
    <row r="86" spans="1:3" x14ac:dyDescent="0.2">
      <c r="A86" t="s">
        <v>243</v>
      </c>
      <c r="B86">
        <v>100</v>
      </c>
      <c r="C86">
        <v>47.64</v>
      </c>
    </row>
    <row r="87" spans="1:3" x14ac:dyDescent="0.2">
      <c r="A87" t="s">
        <v>252</v>
      </c>
      <c r="B87">
        <v>45</v>
      </c>
      <c r="C87">
        <v>55.93</v>
      </c>
    </row>
    <row r="88" spans="1:3" x14ac:dyDescent="0.2">
      <c r="A88" t="s">
        <v>211</v>
      </c>
      <c r="B88">
        <v>110</v>
      </c>
      <c r="C88">
        <v>46.21</v>
      </c>
    </row>
    <row r="89" spans="1:3" x14ac:dyDescent="0.2">
      <c r="A89" t="s">
        <v>154</v>
      </c>
      <c r="B89">
        <v>106</v>
      </c>
      <c r="C89">
        <v>46.4</v>
      </c>
    </row>
    <row r="90" spans="1:3" x14ac:dyDescent="0.2">
      <c r="A90" t="s">
        <v>307</v>
      </c>
      <c r="B90">
        <v>13</v>
      </c>
      <c r="C90">
        <v>66.430000000000007</v>
      </c>
    </row>
    <row r="91" spans="1:3" x14ac:dyDescent="0.2">
      <c r="A91" t="s">
        <v>143</v>
      </c>
      <c r="B91">
        <v>77</v>
      </c>
      <c r="C91">
        <v>50.75</v>
      </c>
    </row>
    <row r="92" spans="1:3" x14ac:dyDescent="0.2">
      <c r="A92" t="s">
        <v>237</v>
      </c>
      <c r="B92">
        <v>125</v>
      </c>
      <c r="C92">
        <v>44.09</v>
      </c>
    </row>
    <row r="93" spans="1:3" x14ac:dyDescent="0.2">
      <c r="A93" t="s">
        <v>308</v>
      </c>
      <c r="B93">
        <v>135</v>
      </c>
      <c r="C93">
        <v>42.26</v>
      </c>
    </row>
    <row r="94" spans="1:3" x14ac:dyDescent="0.2">
      <c r="A94" t="s">
        <v>309</v>
      </c>
      <c r="B94">
        <v>104</v>
      </c>
      <c r="C94">
        <v>46.45</v>
      </c>
    </row>
    <row r="95" spans="1:3" x14ac:dyDescent="0.2">
      <c r="A95" t="s">
        <v>134</v>
      </c>
      <c r="B95">
        <v>24</v>
      </c>
      <c r="C95">
        <v>61.75</v>
      </c>
    </row>
    <row r="96" spans="1:3" x14ac:dyDescent="0.2">
      <c r="A96" t="s">
        <v>245</v>
      </c>
      <c r="B96">
        <v>167</v>
      </c>
      <c r="C96">
        <v>33.72</v>
      </c>
    </row>
    <row r="97" spans="1:3" x14ac:dyDescent="0.2">
      <c r="A97" t="s">
        <v>228</v>
      </c>
      <c r="B97">
        <v>120</v>
      </c>
      <c r="C97">
        <v>44.72</v>
      </c>
    </row>
    <row r="98" spans="1:3" x14ac:dyDescent="0.2">
      <c r="A98" t="s">
        <v>277</v>
      </c>
      <c r="B98">
        <v>145</v>
      </c>
      <c r="C98">
        <v>39.229999999999997</v>
      </c>
    </row>
    <row r="99" spans="1:3" x14ac:dyDescent="0.2">
      <c r="A99" t="s">
        <v>144</v>
      </c>
      <c r="B99">
        <v>168</v>
      </c>
      <c r="C99">
        <v>33.65</v>
      </c>
    </row>
    <row r="100" spans="1:3" x14ac:dyDescent="0.2">
      <c r="A100" t="s">
        <v>310</v>
      </c>
      <c r="B100">
        <v>25</v>
      </c>
      <c r="C100">
        <v>61.02</v>
      </c>
    </row>
    <row r="101" spans="1:3" x14ac:dyDescent="0.2">
      <c r="A101" t="s">
        <v>128</v>
      </c>
      <c r="B101">
        <v>19</v>
      </c>
      <c r="C101">
        <v>64.150000000000006</v>
      </c>
    </row>
    <row r="102" spans="1:3" x14ac:dyDescent="0.2">
      <c r="A102" t="s">
        <v>109</v>
      </c>
      <c r="B102">
        <v>5</v>
      </c>
      <c r="C102">
        <v>68.790000000000006</v>
      </c>
    </row>
    <row r="103" spans="1:3" x14ac:dyDescent="0.2">
      <c r="A103" t="s">
        <v>180</v>
      </c>
      <c r="B103">
        <v>148</v>
      </c>
      <c r="C103">
        <v>38.72</v>
      </c>
    </row>
    <row r="104" spans="1:3" x14ac:dyDescent="0.2">
      <c r="A104" t="s">
        <v>278</v>
      </c>
      <c r="B104">
        <v>154</v>
      </c>
      <c r="C104">
        <v>37.68</v>
      </c>
    </row>
    <row r="105" spans="1:3" x14ac:dyDescent="0.2">
      <c r="A105" t="s">
        <v>135</v>
      </c>
      <c r="B105">
        <v>66</v>
      </c>
      <c r="C105">
        <v>52.51</v>
      </c>
    </row>
    <row r="106" spans="1:3" x14ac:dyDescent="0.2">
      <c r="A106" t="s">
        <v>274</v>
      </c>
      <c r="B106">
        <v>52</v>
      </c>
      <c r="C106">
        <v>54.47</v>
      </c>
    </row>
    <row r="107" spans="1:3" x14ac:dyDescent="0.2">
      <c r="A107" t="s">
        <v>190</v>
      </c>
      <c r="B107">
        <v>177</v>
      </c>
      <c r="C107">
        <v>31.96</v>
      </c>
    </row>
    <row r="108" spans="1:3" x14ac:dyDescent="0.2">
      <c r="A108" t="s">
        <v>112</v>
      </c>
      <c r="B108">
        <v>30</v>
      </c>
      <c r="C108">
        <v>60.14</v>
      </c>
    </row>
    <row r="109" spans="1:3" x14ac:dyDescent="0.2">
      <c r="A109" t="s">
        <v>231</v>
      </c>
      <c r="B109">
        <v>99</v>
      </c>
      <c r="C109">
        <v>47.74</v>
      </c>
    </row>
    <row r="110" spans="1:3" x14ac:dyDescent="0.2">
      <c r="A110" t="s">
        <v>155</v>
      </c>
      <c r="B110">
        <v>159</v>
      </c>
      <c r="C110">
        <v>37.06</v>
      </c>
    </row>
    <row r="111" spans="1:3" x14ac:dyDescent="0.2">
      <c r="A111" t="s">
        <v>149</v>
      </c>
      <c r="B111">
        <v>59</v>
      </c>
      <c r="C111">
        <v>53.77</v>
      </c>
    </row>
    <row r="112" spans="1:3" x14ac:dyDescent="0.2">
      <c r="A112" t="s">
        <v>59</v>
      </c>
      <c r="B112">
        <v>91</v>
      </c>
      <c r="C112">
        <v>48.68</v>
      </c>
    </row>
    <row r="113" spans="1:3" x14ac:dyDescent="0.2">
      <c r="A113" t="s">
        <v>159</v>
      </c>
      <c r="B113">
        <v>97</v>
      </c>
      <c r="C113">
        <v>47.82</v>
      </c>
    </row>
    <row r="114" spans="1:3" x14ac:dyDescent="0.2">
      <c r="A114" t="s">
        <v>158</v>
      </c>
      <c r="B114">
        <v>43</v>
      </c>
      <c r="C114">
        <v>56.08</v>
      </c>
    </row>
    <row r="115" spans="1:3" x14ac:dyDescent="0.2">
      <c r="A115" t="s">
        <v>129</v>
      </c>
      <c r="B115">
        <v>46</v>
      </c>
      <c r="C115">
        <v>55.86</v>
      </c>
    </row>
    <row r="116" spans="1:3" x14ac:dyDescent="0.2">
      <c r="A116" t="s">
        <v>139</v>
      </c>
      <c r="B116">
        <v>56</v>
      </c>
      <c r="C116">
        <v>54.18</v>
      </c>
    </row>
    <row r="117" spans="1:3" x14ac:dyDescent="0.2">
      <c r="A117" t="s">
        <v>157</v>
      </c>
      <c r="B117">
        <v>76</v>
      </c>
      <c r="C117">
        <v>50.76</v>
      </c>
    </row>
    <row r="118" spans="1:3" x14ac:dyDescent="0.2">
      <c r="A118" t="s">
        <v>224</v>
      </c>
      <c r="B118">
        <v>163</v>
      </c>
      <c r="C118">
        <v>34.79</v>
      </c>
    </row>
    <row r="119" spans="1:3" x14ac:dyDescent="0.2">
      <c r="A119" t="s">
        <v>281</v>
      </c>
      <c r="B119">
        <v>172</v>
      </c>
      <c r="C119">
        <v>32.950000000000003</v>
      </c>
    </row>
    <row r="120" spans="1:3" x14ac:dyDescent="0.2">
      <c r="A120" t="s">
        <v>146</v>
      </c>
      <c r="B120">
        <v>127</v>
      </c>
      <c r="C120">
        <v>43.46</v>
      </c>
    </row>
    <row r="121" spans="1:3" x14ac:dyDescent="0.2">
      <c r="A121" t="s">
        <v>204</v>
      </c>
      <c r="B121">
        <v>78</v>
      </c>
      <c r="C121">
        <v>50.67</v>
      </c>
    </row>
    <row r="122" spans="1:3" x14ac:dyDescent="0.2">
      <c r="A122" t="s">
        <v>84</v>
      </c>
      <c r="B122">
        <v>8</v>
      </c>
      <c r="C122">
        <v>68.06</v>
      </c>
    </row>
    <row r="123" spans="1:3" x14ac:dyDescent="0.2">
      <c r="A123" t="s">
        <v>234</v>
      </c>
      <c r="B123">
        <v>9</v>
      </c>
      <c r="C123">
        <v>67.86</v>
      </c>
    </row>
    <row r="124" spans="1:3" x14ac:dyDescent="0.2">
      <c r="A124" t="s">
        <v>61</v>
      </c>
      <c r="B124">
        <v>146</v>
      </c>
      <c r="C124">
        <v>39.119999999999997</v>
      </c>
    </row>
    <row r="125" spans="1:3" x14ac:dyDescent="0.2">
      <c r="A125" t="s">
        <v>213</v>
      </c>
      <c r="B125">
        <v>158</v>
      </c>
      <c r="C125">
        <v>37.270000000000003</v>
      </c>
    </row>
    <row r="126" spans="1:3" x14ac:dyDescent="0.2">
      <c r="A126" t="s">
        <v>273</v>
      </c>
      <c r="B126">
        <v>169</v>
      </c>
      <c r="C126">
        <v>33.630000000000003</v>
      </c>
    </row>
    <row r="127" spans="1:3" x14ac:dyDescent="0.2">
      <c r="A127" t="s">
        <v>125</v>
      </c>
      <c r="B127">
        <v>83</v>
      </c>
      <c r="C127">
        <v>50.13</v>
      </c>
    </row>
    <row r="128" spans="1:3" x14ac:dyDescent="0.2">
      <c r="A128" t="s">
        <v>175</v>
      </c>
      <c r="B128">
        <v>7</v>
      </c>
      <c r="C128">
        <v>68.42</v>
      </c>
    </row>
    <row r="129" spans="1:3" x14ac:dyDescent="0.2">
      <c r="A129" t="s">
        <v>239</v>
      </c>
      <c r="B129">
        <v>115</v>
      </c>
      <c r="C129">
        <v>45.85</v>
      </c>
    </row>
    <row r="130" spans="1:3" x14ac:dyDescent="0.2">
      <c r="A130" t="s">
        <v>215</v>
      </c>
      <c r="B130">
        <v>161</v>
      </c>
      <c r="C130">
        <v>35.53</v>
      </c>
    </row>
    <row r="131" spans="1:3" x14ac:dyDescent="0.2">
      <c r="A131" t="s">
        <v>218</v>
      </c>
      <c r="B131">
        <v>92</v>
      </c>
      <c r="C131">
        <v>48.68</v>
      </c>
    </row>
    <row r="132" spans="1:3" x14ac:dyDescent="0.2">
      <c r="A132" t="s">
        <v>311</v>
      </c>
      <c r="B132">
        <v>165</v>
      </c>
      <c r="C132">
        <v>34.39</v>
      </c>
    </row>
    <row r="133" spans="1:3" x14ac:dyDescent="0.2">
      <c r="A133" t="s">
        <v>62</v>
      </c>
      <c r="B133">
        <v>80</v>
      </c>
      <c r="C133">
        <v>50.51</v>
      </c>
    </row>
    <row r="134" spans="1:3" x14ac:dyDescent="0.2">
      <c r="A134" t="s">
        <v>279</v>
      </c>
      <c r="B134">
        <v>156</v>
      </c>
      <c r="C134">
        <v>37.6</v>
      </c>
    </row>
    <row r="135" spans="1:3" x14ac:dyDescent="0.2">
      <c r="A135" t="s">
        <v>63</v>
      </c>
      <c r="B135">
        <v>114</v>
      </c>
      <c r="C135">
        <v>45.96</v>
      </c>
    </row>
    <row r="136" spans="1:3" x14ac:dyDescent="0.2">
      <c r="A136" t="s">
        <v>64</v>
      </c>
      <c r="B136">
        <v>96</v>
      </c>
      <c r="C136">
        <v>48.15</v>
      </c>
    </row>
    <row r="137" spans="1:3" x14ac:dyDescent="0.2">
      <c r="A137" t="s">
        <v>185</v>
      </c>
      <c r="B137">
        <v>107</v>
      </c>
      <c r="C137">
        <v>46.35</v>
      </c>
    </row>
    <row r="138" spans="1:3" x14ac:dyDescent="0.2">
      <c r="A138" t="s">
        <v>147</v>
      </c>
      <c r="B138">
        <v>35</v>
      </c>
      <c r="C138">
        <v>57.99</v>
      </c>
    </row>
    <row r="139" spans="1:3" x14ac:dyDescent="0.2">
      <c r="A139" t="s">
        <v>162</v>
      </c>
      <c r="B139">
        <v>20</v>
      </c>
      <c r="C139">
        <v>63.69</v>
      </c>
    </row>
    <row r="140" spans="1:3" x14ac:dyDescent="0.2">
      <c r="A140" t="s">
        <v>85</v>
      </c>
      <c r="B140">
        <v>105</v>
      </c>
      <c r="C140">
        <v>46.43</v>
      </c>
    </row>
    <row r="141" spans="1:3" x14ac:dyDescent="0.2">
      <c r="A141" t="s">
        <v>173</v>
      </c>
      <c r="B141">
        <v>39</v>
      </c>
      <c r="C141">
        <v>57.14</v>
      </c>
    </row>
    <row r="142" spans="1:3" x14ac:dyDescent="0.2">
      <c r="A142" t="s">
        <v>312</v>
      </c>
      <c r="B142">
        <v>124</v>
      </c>
      <c r="C142">
        <v>44.31</v>
      </c>
    </row>
    <row r="143" spans="1:3" x14ac:dyDescent="0.2">
      <c r="A143" t="s">
        <v>189</v>
      </c>
      <c r="B143">
        <v>130</v>
      </c>
      <c r="C143">
        <v>42.74</v>
      </c>
    </row>
    <row r="144" spans="1:3" x14ac:dyDescent="0.2">
      <c r="A144" t="s">
        <v>313</v>
      </c>
      <c r="B144">
        <v>54</v>
      </c>
      <c r="C144">
        <v>54.4</v>
      </c>
    </row>
    <row r="145" spans="1:3" x14ac:dyDescent="0.2">
      <c r="A145" t="s">
        <v>314</v>
      </c>
      <c r="B145">
        <v>85</v>
      </c>
      <c r="C145">
        <v>49.94</v>
      </c>
    </row>
    <row r="146" spans="1:3" x14ac:dyDescent="0.2">
      <c r="A146" t="s">
        <v>65</v>
      </c>
      <c r="B146">
        <v>49</v>
      </c>
      <c r="C146">
        <v>55.03</v>
      </c>
    </row>
    <row r="147" spans="1:3" x14ac:dyDescent="0.2">
      <c r="A147" t="s">
        <v>166</v>
      </c>
      <c r="B147">
        <v>81</v>
      </c>
      <c r="C147">
        <v>50.41</v>
      </c>
    </row>
    <row r="148" spans="1:3" x14ac:dyDescent="0.2">
      <c r="A148" t="s">
        <v>315</v>
      </c>
      <c r="B148">
        <v>122</v>
      </c>
      <c r="C148">
        <v>44.49</v>
      </c>
    </row>
    <row r="149" spans="1:3" x14ac:dyDescent="0.2">
      <c r="A149" t="s">
        <v>193</v>
      </c>
      <c r="B149">
        <v>102</v>
      </c>
      <c r="C149">
        <v>46.81</v>
      </c>
    </row>
    <row r="150" spans="1:3" x14ac:dyDescent="0.2">
      <c r="A150" t="s">
        <v>181</v>
      </c>
      <c r="B150">
        <v>95</v>
      </c>
      <c r="C150">
        <v>48.19</v>
      </c>
    </row>
    <row r="151" spans="1:3" x14ac:dyDescent="0.2">
      <c r="A151" t="s">
        <v>137</v>
      </c>
      <c r="B151">
        <v>70</v>
      </c>
      <c r="C151">
        <v>52.2</v>
      </c>
    </row>
    <row r="152" spans="1:3" x14ac:dyDescent="0.2">
      <c r="A152" t="s">
        <v>121</v>
      </c>
      <c r="B152">
        <v>36</v>
      </c>
      <c r="C152">
        <v>57.77</v>
      </c>
    </row>
    <row r="153" spans="1:3" x14ac:dyDescent="0.2">
      <c r="A153" t="s">
        <v>150</v>
      </c>
      <c r="B153">
        <v>149</v>
      </c>
      <c r="C153">
        <v>38.700000000000003</v>
      </c>
    </row>
    <row r="154" spans="1:3" x14ac:dyDescent="0.2">
      <c r="A154" t="s">
        <v>113</v>
      </c>
      <c r="B154">
        <v>50</v>
      </c>
      <c r="C154">
        <v>54.96</v>
      </c>
    </row>
    <row r="155" spans="1:3" x14ac:dyDescent="0.2">
      <c r="A155" t="s">
        <v>316</v>
      </c>
      <c r="B155">
        <v>38</v>
      </c>
      <c r="C155">
        <v>57.7</v>
      </c>
    </row>
    <row r="156" spans="1:3" x14ac:dyDescent="0.2">
      <c r="A156" t="s">
        <v>124</v>
      </c>
      <c r="B156">
        <v>32</v>
      </c>
      <c r="C156">
        <v>59.78</v>
      </c>
    </row>
    <row r="157" spans="1:3" x14ac:dyDescent="0.2">
      <c r="A157" t="s">
        <v>240</v>
      </c>
      <c r="B157">
        <v>111</v>
      </c>
      <c r="C157">
        <v>46.17</v>
      </c>
    </row>
    <row r="158" spans="1:3" x14ac:dyDescent="0.2">
      <c r="A158" t="s">
        <v>161</v>
      </c>
      <c r="B158">
        <v>173</v>
      </c>
      <c r="C158">
        <v>32.89</v>
      </c>
    </row>
    <row r="159" spans="1:3" x14ac:dyDescent="0.2">
      <c r="A159" t="s">
        <v>191</v>
      </c>
      <c r="B159">
        <v>93</v>
      </c>
      <c r="C159">
        <v>48.67</v>
      </c>
    </row>
    <row r="160" spans="1:3" x14ac:dyDescent="0.2">
      <c r="A160" t="s">
        <v>317</v>
      </c>
      <c r="B160">
        <v>186</v>
      </c>
      <c r="C160">
        <v>27.23</v>
      </c>
    </row>
    <row r="161" spans="1:3" x14ac:dyDescent="0.2">
      <c r="A161" t="s">
        <v>178</v>
      </c>
      <c r="B161">
        <v>21</v>
      </c>
      <c r="C161">
        <v>62.91</v>
      </c>
    </row>
    <row r="162" spans="1:3" x14ac:dyDescent="0.2">
      <c r="A162" t="s">
        <v>202</v>
      </c>
      <c r="B162">
        <v>108</v>
      </c>
      <c r="C162">
        <v>46.32</v>
      </c>
    </row>
    <row r="163" spans="1:3" x14ac:dyDescent="0.2">
      <c r="A163" t="s">
        <v>217</v>
      </c>
      <c r="B163">
        <v>184</v>
      </c>
      <c r="C163">
        <v>28.8</v>
      </c>
    </row>
    <row r="164" spans="1:3" x14ac:dyDescent="0.2">
      <c r="A164" t="s">
        <v>69</v>
      </c>
      <c r="B164">
        <v>89</v>
      </c>
      <c r="C164">
        <v>49.03</v>
      </c>
    </row>
    <row r="165" spans="1:3" x14ac:dyDescent="0.2">
      <c r="A165" t="s">
        <v>86</v>
      </c>
      <c r="B165">
        <v>1</v>
      </c>
      <c r="C165">
        <v>71.91</v>
      </c>
    </row>
    <row r="166" spans="1:3" x14ac:dyDescent="0.2">
      <c r="A166" t="s">
        <v>87</v>
      </c>
      <c r="B166">
        <v>14</v>
      </c>
      <c r="C166">
        <v>66.03</v>
      </c>
    </row>
    <row r="167" spans="1:3" x14ac:dyDescent="0.2">
      <c r="A167" t="s">
        <v>219</v>
      </c>
      <c r="B167">
        <v>182</v>
      </c>
      <c r="C167">
        <v>29.45</v>
      </c>
    </row>
    <row r="168" spans="1:3" x14ac:dyDescent="0.2">
      <c r="A168" t="s">
        <v>236</v>
      </c>
      <c r="B168">
        <v>151</v>
      </c>
      <c r="C168">
        <v>38.44</v>
      </c>
    </row>
    <row r="169" spans="1:3" x14ac:dyDescent="0.2">
      <c r="A169" t="s">
        <v>208</v>
      </c>
      <c r="B169">
        <v>133</v>
      </c>
      <c r="C169">
        <v>42.42</v>
      </c>
    </row>
    <row r="170" spans="1:3" x14ac:dyDescent="0.2">
      <c r="A170" t="s">
        <v>136</v>
      </c>
      <c r="B170">
        <v>94</v>
      </c>
      <c r="C170">
        <v>48.26</v>
      </c>
    </row>
    <row r="171" spans="1:3" x14ac:dyDescent="0.2">
      <c r="A171" t="s">
        <v>244</v>
      </c>
      <c r="B171">
        <v>113</v>
      </c>
      <c r="C171">
        <v>45.99</v>
      </c>
    </row>
    <row r="172" spans="1:3" x14ac:dyDescent="0.2">
      <c r="A172" t="s">
        <v>194</v>
      </c>
      <c r="B172">
        <v>150</v>
      </c>
      <c r="C172">
        <v>38.659999999999997</v>
      </c>
    </row>
    <row r="173" spans="1:3" x14ac:dyDescent="0.2">
      <c r="A173" t="s">
        <v>249</v>
      </c>
      <c r="B173">
        <v>126</v>
      </c>
      <c r="C173">
        <v>43.86</v>
      </c>
    </row>
    <row r="174" spans="1:3" x14ac:dyDescent="0.2">
      <c r="A174" t="s">
        <v>50</v>
      </c>
      <c r="B174">
        <v>64</v>
      </c>
      <c r="C174">
        <v>53.17</v>
      </c>
    </row>
    <row r="175" spans="1:3" x14ac:dyDescent="0.2">
      <c r="A175" t="s">
        <v>148</v>
      </c>
      <c r="B175">
        <v>117</v>
      </c>
      <c r="C175">
        <v>45.42</v>
      </c>
    </row>
    <row r="176" spans="1:3" x14ac:dyDescent="0.2">
      <c r="A176" t="s">
        <v>187</v>
      </c>
      <c r="B176">
        <v>68</v>
      </c>
      <c r="C176">
        <v>52.42</v>
      </c>
    </row>
    <row r="177" spans="1:3" x14ac:dyDescent="0.2">
      <c r="A177" t="s">
        <v>210</v>
      </c>
      <c r="B177">
        <v>141</v>
      </c>
      <c r="C177">
        <v>40.229999999999997</v>
      </c>
    </row>
    <row r="178" spans="1:3" x14ac:dyDescent="0.2">
      <c r="A178" t="s">
        <v>282</v>
      </c>
      <c r="B178">
        <v>116</v>
      </c>
      <c r="C178">
        <v>45.6</v>
      </c>
    </row>
    <row r="179" spans="1:3" x14ac:dyDescent="0.2">
      <c r="A179" t="s">
        <v>209</v>
      </c>
      <c r="B179">
        <v>164</v>
      </c>
      <c r="C179">
        <v>34.630000000000003</v>
      </c>
    </row>
    <row r="180" spans="1:3" x14ac:dyDescent="0.2">
      <c r="A180" t="s">
        <v>176</v>
      </c>
      <c r="B180">
        <v>88</v>
      </c>
      <c r="C180">
        <v>49.05</v>
      </c>
    </row>
    <row r="181" spans="1:3" x14ac:dyDescent="0.2">
      <c r="A181" t="s">
        <v>89</v>
      </c>
      <c r="B181">
        <v>51</v>
      </c>
      <c r="C181">
        <v>54.8</v>
      </c>
    </row>
    <row r="182" spans="1:3" x14ac:dyDescent="0.2">
      <c r="A182" t="s">
        <v>90</v>
      </c>
      <c r="B182">
        <v>26</v>
      </c>
      <c r="C182">
        <v>61.02</v>
      </c>
    </row>
    <row r="183" spans="1:3" x14ac:dyDescent="0.2">
      <c r="A183" t="s">
        <v>51</v>
      </c>
      <c r="B183">
        <v>62</v>
      </c>
      <c r="C183">
        <v>53.44</v>
      </c>
    </row>
    <row r="184" spans="1:3" x14ac:dyDescent="0.2">
      <c r="A184" t="s">
        <v>71</v>
      </c>
      <c r="B184">
        <v>29</v>
      </c>
      <c r="C184">
        <v>60.73</v>
      </c>
    </row>
    <row r="185" spans="1:3" x14ac:dyDescent="0.2">
      <c r="A185" t="s">
        <v>179</v>
      </c>
      <c r="B185">
        <v>74</v>
      </c>
      <c r="C185">
        <v>51.04</v>
      </c>
    </row>
    <row r="186" spans="1:3" x14ac:dyDescent="0.2">
      <c r="A186" t="s">
        <v>229</v>
      </c>
      <c r="B186">
        <v>69</v>
      </c>
      <c r="C186">
        <v>52.26</v>
      </c>
    </row>
    <row r="187" spans="1:3" x14ac:dyDescent="0.2">
      <c r="A187" t="s">
        <v>70</v>
      </c>
      <c r="B187">
        <v>178</v>
      </c>
      <c r="C187">
        <v>31.84</v>
      </c>
    </row>
    <row r="188" spans="1:3" x14ac:dyDescent="0.2">
      <c r="A188" t="s">
        <v>318</v>
      </c>
      <c r="B188">
        <v>71</v>
      </c>
      <c r="C188">
        <v>52.06</v>
      </c>
    </row>
    <row r="189" spans="1:3" x14ac:dyDescent="0.2">
      <c r="A189" t="s">
        <v>285</v>
      </c>
      <c r="B189">
        <v>191</v>
      </c>
      <c r="C189">
        <v>25.11</v>
      </c>
    </row>
    <row r="190" spans="1:3" x14ac:dyDescent="0.2">
      <c r="A190" t="s">
        <v>174</v>
      </c>
      <c r="B190">
        <v>142</v>
      </c>
      <c r="C190">
        <v>39.67</v>
      </c>
    </row>
    <row r="191" spans="1:3" x14ac:dyDescent="0.2">
      <c r="A191" t="s">
        <v>251</v>
      </c>
      <c r="B191">
        <v>153</v>
      </c>
      <c r="C191">
        <v>37.99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FB353B-2F84-44F1-96D6-7B006543400D}">
  <dimension ref="A1:K68"/>
  <sheetViews>
    <sheetView topLeftCell="A32" workbookViewId="0">
      <selection activeCell="B9" sqref="B9"/>
    </sheetView>
  </sheetViews>
  <sheetFormatPr baseColWidth="10" defaultColWidth="8.83203125" defaultRowHeight="15" x14ac:dyDescent="0.2"/>
  <cols>
    <col min="5" max="11" width="15.83203125" customWidth="1"/>
  </cols>
  <sheetData>
    <row r="1" spans="1:11" x14ac:dyDescent="0.2">
      <c r="F1" t="s">
        <v>255</v>
      </c>
      <c r="G1" t="s">
        <v>104</v>
      </c>
      <c r="H1" t="s">
        <v>105</v>
      </c>
      <c r="I1" t="s">
        <v>291</v>
      </c>
      <c r="J1" t="s">
        <v>319</v>
      </c>
      <c r="K1" t="s">
        <v>108</v>
      </c>
    </row>
    <row r="2" spans="1:11" x14ac:dyDescent="0.2">
      <c r="F2">
        <f>_xlfn.PERCENTILE.INC(B9:B68, 0)</f>
        <v>29.34</v>
      </c>
      <c r="G2">
        <f>_xlfn.PERCENTILE.INC(B9:B68, 0.2)</f>
        <v>47.6</v>
      </c>
      <c r="H2">
        <f>_xlfn.PERCENTILE.INC(B9:B68, 0.4)</f>
        <v>51.398000000000003</v>
      </c>
      <c r="I2">
        <f>_xlfn.PERCENTILE.INC(B9:B68, 0.6)</f>
        <v>55.181999999999995</v>
      </c>
      <c r="J2">
        <f>_xlfn.PERCENTILE.INC(B9:B68, 0.8)</f>
        <v>66.018000000000001</v>
      </c>
      <c r="K2">
        <f>_xlfn.PERCENTILE.INC(B9:B68, 1)</f>
        <v>71.91</v>
      </c>
    </row>
    <row r="5" spans="1:11" x14ac:dyDescent="0.2">
      <c r="E5" t="s">
        <v>257</v>
      </c>
      <c r="F5" t="s">
        <v>320</v>
      </c>
      <c r="G5" t="s">
        <v>321</v>
      </c>
      <c r="H5" t="s">
        <v>322</v>
      </c>
      <c r="I5" t="s">
        <v>323</v>
      </c>
      <c r="J5" t="s">
        <v>324</v>
      </c>
    </row>
    <row r="6" spans="1:11" x14ac:dyDescent="0.2">
      <c r="F6">
        <v>1</v>
      </c>
      <c r="G6">
        <v>2</v>
      </c>
      <c r="H6">
        <v>3</v>
      </c>
      <c r="I6">
        <v>4</v>
      </c>
      <c r="J6">
        <v>5</v>
      </c>
    </row>
    <row r="8" spans="1:11" x14ac:dyDescent="0.2">
      <c r="A8" s="2" t="s">
        <v>25</v>
      </c>
      <c r="B8" s="45" t="s">
        <v>28</v>
      </c>
      <c r="C8" s="45"/>
    </row>
    <row r="9" spans="1:11" x14ac:dyDescent="0.2">
      <c r="A9" t="s">
        <v>31</v>
      </c>
      <c r="B9" s="17">
        <v>63</v>
      </c>
      <c r="C9" s="17">
        <v>4</v>
      </c>
    </row>
    <row r="10" spans="1:11" x14ac:dyDescent="0.2">
      <c r="A10" t="s">
        <v>32</v>
      </c>
      <c r="B10" s="17">
        <v>68</v>
      </c>
      <c r="C10" s="17">
        <v>5</v>
      </c>
    </row>
    <row r="11" spans="1:11" x14ac:dyDescent="0.2">
      <c r="A11" t="s">
        <v>33</v>
      </c>
      <c r="B11">
        <v>52.49</v>
      </c>
      <c r="C11">
        <v>3</v>
      </c>
    </row>
    <row r="12" spans="1:11" x14ac:dyDescent="0.2">
      <c r="A12" t="s">
        <v>34</v>
      </c>
      <c r="B12">
        <v>54.03</v>
      </c>
      <c r="C12">
        <v>3</v>
      </c>
    </row>
    <row r="13" spans="1:11" x14ac:dyDescent="0.2">
      <c r="A13" t="s">
        <v>35</v>
      </c>
      <c r="B13">
        <v>47.78</v>
      </c>
      <c r="C13">
        <v>3</v>
      </c>
    </row>
    <row r="14" spans="1:11" x14ac:dyDescent="0.2">
      <c r="A14" t="s">
        <v>36</v>
      </c>
      <c r="B14" s="17">
        <v>67.5</v>
      </c>
      <c r="C14" s="17">
        <v>5</v>
      </c>
    </row>
    <row r="15" spans="1:11" x14ac:dyDescent="0.2">
      <c r="A15" t="s">
        <v>37</v>
      </c>
      <c r="B15" s="17">
        <v>65</v>
      </c>
      <c r="C15" s="17">
        <v>4</v>
      </c>
    </row>
    <row r="16" spans="1:11" x14ac:dyDescent="0.2">
      <c r="A16" t="s">
        <v>38</v>
      </c>
      <c r="B16" s="17">
        <v>66</v>
      </c>
      <c r="C16" s="17">
        <v>4</v>
      </c>
    </row>
    <row r="17" spans="1:3" x14ac:dyDescent="0.2">
      <c r="A17" t="s">
        <v>39</v>
      </c>
      <c r="B17">
        <v>55.94</v>
      </c>
      <c r="C17" s="29">
        <v>4</v>
      </c>
    </row>
    <row r="18" spans="1:3" x14ac:dyDescent="0.2">
      <c r="A18" t="s">
        <v>40</v>
      </c>
      <c r="B18">
        <v>48.8</v>
      </c>
      <c r="C18" s="29">
        <v>2</v>
      </c>
    </row>
    <row r="19" spans="1:3" x14ac:dyDescent="0.2">
      <c r="A19" t="s">
        <v>41</v>
      </c>
      <c r="B19" s="17">
        <v>64</v>
      </c>
      <c r="C19" s="17">
        <v>4</v>
      </c>
    </row>
    <row r="20" spans="1:3" x14ac:dyDescent="0.2">
      <c r="A20" t="s">
        <v>42</v>
      </c>
      <c r="B20">
        <v>52.58</v>
      </c>
      <c r="C20" s="29">
        <v>3</v>
      </c>
    </row>
    <row r="21" spans="1:3" x14ac:dyDescent="0.2">
      <c r="A21" t="s">
        <v>43</v>
      </c>
      <c r="B21">
        <v>49.51</v>
      </c>
      <c r="C21" s="29">
        <v>2</v>
      </c>
    </row>
    <row r="22" spans="1:3" x14ac:dyDescent="0.2">
      <c r="A22" t="s">
        <v>44</v>
      </c>
      <c r="B22">
        <v>44.34</v>
      </c>
      <c r="C22" s="29">
        <v>1</v>
      </c>
    </row>
    <row r="23" spans="1:3" x14ac:dyDescent="0.2">
      <c r="A23" t="s">
        <v>45</v>
      </c>
      <c r="B23">
        <v>53.73</v>
      </c>
      <c r="C23" s="29">
        <v>3</v>
      </c>
    </row>
    <row r="24" spans="1:3" x14ac:dyDescent="0.2">
      <c r="A24" t="s">
        <v>46</v>
      </c>
      <c r="B24">
        <v>41.28</v>
      </c>
      <c r="C24" s="29">
        <v>1</v>
      </c>
    </row>
    <row r="25" spans="1:3" x14ac:dyDescent="0.2">
      <c r="A25" t="s">
        <v>47</v>
      </c>
      <c r="B25">
        <v>29.34</v>
      </c>
      <c r="C25" s="29">
        <v>1</v>
      </c>
    </row>
    <row r="26" spans="1:3" x14ac:dyDescent="0.2">
      <c r="A26" t="s">
        <v>48</v>
      </c>
      <c r="B26">
        <v>42.52</v>
      </c>
      <c r="C26" s="29">
        <v>1</v>
      </c>
    </row>
    <row r="27" spans="1:3" x14ac:dyDescent="0.2">
      <c r="A27" t="s">
        <v>49</v>
      </c>
      <c r="B27">
        <v>50.28</v>
      </c>
      <c r="C27" s="29">
        <v>2</v>
      </c>
    </row>
    <row r="28" spans="1:3" x14ac:dyDescent="0.2">
      <c r="A28" t="s">
        <v>50</v>
      </c>
      <c r="B28">
        <v>53.17</v>
      </c>
      <c r="C28" s="29">
        <v>3</v>
      </c>
    </row>
    <row r="29" spans="1:3" x14ac:dyDescent="0.2">
      <c r="A29" t="s">
        <v>51</v>
      </c>
      <c r="B29">
        <v>53.44</v>
      </c>
      <c r="C29" s="29">
        <v>3</v>
      </c>
    </row>
    <row r="30" spans="1:3" x14ac:dyDescent="0.2">
      <c r="A30" t="s">
        <v>52</v>
      </c>
      <c r="B30">
        <v>55.79</v>
      </c>
      <c r="C30">
        <v>4</v>
      </c>
    </row>
    <row r="31" spans="1:3" x14ac:dyDescent="0.2">
      <c r="A31" t="s">
        <v>53</v>
      </c>
      <c r="B31">
        <v>47.48</v>
      </c>
      <c r="C31">
        <v>1</v>
      </c>
    </row>
    <row r="32" spans="1:3" x14ac:dyDescent="0.2">
      <c r="A32" t="s">
        <v>54</v>
      </c>
      <c r="B32">
        <v>51.53</v>
      </c>
      <c r="C32">
        <v>3</v>
      </c>
    </row>
    <row r="33" spans="1:3" x14ac:dyDescent="0.2">
      <c r="A33" t="s">
        <v>55</v>
      </c>
      <c r="B33">
        <v>60.06</v>
      </c>
      <c r="C33">
        <v>4</v>
      </c>
    </row>
    <row r="34" spans="1:3" x14ac:dyDescent="0.2">
      <c r="A34" t="s">
        <v>56</v>
      </c>
      <c r="B34">
        <v>44.85</v>
      </c>
      <c r="C34">
        <v>1</v>
      </c>
    </row>
    <row r="35" spans="1:3" x14ac:dyDescent="0.2">
      <c r="A35" t="s">
        <v>57</v>
      </c>
      <c r="B35">
        <v>49.51</v>
      </c>
      <c r="C35">
        <v>2</v>
      </c>
    </row>
    <row r="36" spans="1:3" x14ac:dyDescent="0.2">
      <c r="A36" t="s">
        <v>58</v>
      </c>
      <c r="B36">
        <v>44.56</v>
      </c>
      <c r="C36">
        <v>1</v>
      </c>
    </row>
    <row r="37" spans="1:3" x14ac:dyDescent="0.2">
      <c r="A37" t="s">
        <v>59</v>
      </c>
      <c r="B37">
        <v>48.68</v>
      </c>
      <c r="C37">
        <v>2</v>
      </c>
    </row>
    <row r="38" spans="1:3" x14ac:dyDescent="0.2">
      <c r="A38" t="s">
        <v>60</v>
      </c>
      <c r="B38" t="s">
        <v>263</v>
      </c>
    </row>
    <row r="39" spans="1:3" x14ac:dyDescent="0.2">
      <c r="A39" t="s">
        <v>61</v>
      </c>
      <c r="B39">
        <v>39.119999999999997</v>
      </c>
      <c r="C39">
        <v>1</v>
      </c>
    </row>
    <row r="40" spans="1:3" x14ac:dyDescent="0.2">
      <c r="A40" t="s">
        <v>62</v>
      </c>
      <c r="B40">
        <v>50.51</v>
      </c>
      <c r="C40">
        <v>2</v>
      </c>
    </row>
    <row r="41" spans="1:3" x14ac:dyDescent="0.2">
      <c r="A41" t="s">
        <v>63</v>
      </c>
      <c r="B41">
        <v>45.96</v>
      </c>
      <c r="C41">
        <v>1</v>
      </c>
    </row>
    <row r="42" spans="1:3" x14ac:dyDescent="0.2">
      <c r="A42" t="s">
        <v>64</v>
      </c>
      <c r="B42">
        <v>48.15</v>
      </c>
      <c r="C42">
        <v>2</v>
      </c>
    </row>
    <row r="43" spans="1:3" x14ac:dyDescent="0.2">
      <c r="A43" t="s">
        <v>65</v>
      </c>
      <c r="B43">
        <v>55.03</v>
      </c>
      <c r="C43">
        <v>3</v>
      </c>
    </row>
    <row r="44" spans="1:3" x14ac:dyDescent="0.2">
      <c r="A44" t="s">
        <v>66</v>
      </c>
      <c r="B44" t="s">
        <v>263</v>
      </c>
    </row>
    <row r="45" spans="1:3" x14ac:dyDescent="0.2">
      <c r="A45" t="s">
        <v>67</v>
      </c>
      <c r="B45">
        <v>54.4</v>
      </c>
      <c r="C45">
        <v>3</v>
      </c>
    </row>
    <row r="46" spans="1:3" x14ac:dyDescent="0.2">
      <c r="A46" t="s">
        <v>68</v>
      </c>
      <c r="B46">
        <v>49.94</v>
      </c>
      <c r="C46">
        <v>2</v>
      </c>
    </row>
    <row r="47" spans="1:3" x14ac:dyDescent="0.2">
      <c r="A47" t="s">
        <v>69</v>
      </c>
      <c r="B47">
        <v>49.03</v>
      </c>
      <c r="C47">
        <v>2</v>
      </c>
    </row>
    <row r="48" spans="1:3" x14ac:dyDescent="0.2">
      <c r="A48" t="s">
        <v>70</v>
      </c>
      <c r="B48">
        <v>31.84</v>
      </c>
      <c r="C48">
        <v>1</v>
      </c>
    </row>
    <row r="49" spans="1:3" x14ac:dyDescent="0.2">
      <c r="A49" t="s">
        <v>71</v>
      </c>
      <c r="B49">
        <v>60.73</v>
      </c>
      <c r="C49">
        <v>4</v>
      </c>
    </row>
    <row r="50" spans="1:3" x14ac:dyDescent="0.2">
      <c r="A50" t="s">
        <v>72</v>
      </c>
      <c r="B50">
        <v>66.81</v>
      </c>
      <c r="C50">
        <v>5</v>
      </c>
    </row>
    <row r="51" spans="1:3" x14ac:dyDescent="0.2">
      <c r="A51" t="s">
        <v>73</v>
      </c>
      <c r="B51">
        <v>62.42</v>
      </c>
      <c r="C51">
        <v>4</v>
      </c>
    </row>
    <row r="52" spans="1:3" x14ac:dyDescent="0.2">
      <c r="A52" t="s">
        <v>74</v>
      </c>
      <c r="B52">
        <v>53.68</v>
      </c>
      <c r="C52">
        <v>3</v>
      </c>
    </row>
    <row r="53" spans="1:3" x14ac:dyDescent="0.2">
      <c r="A53" t="s">
        <v>75</v>
      </c>
      <c r="B53">
        <v>71.459999999999994</v>
      </c>
      <c r="C53">
        <v>5</v>
      </c>
    </row>
    <row r="54" spans="1:3" x14ac:dyDescent="0.2">
      <c r="A54" t="s">
        <v>76</v>
      </c>
      <c r="B54">
        <v>70.56</v>
      </c>
      <c r="C54">
        <v>5</v>
      </c>
    </row>
    <row r="55" spans="1:3" x14ac:dyDescent="0.2">
      <c r="A55" t="s">
        <v>77</v>
      </c>
      <c r="B55">
        <v>66.489999999999995</v>
      </c>
      <c r="C55">
        <v>5</v>
      </c>
    </row>
    <row r="56" spans="1:3" x14ac:dyDescent="0.2">
      <c r="A56" t="s">
        <v>78</v>
      </c>
      <c r="B56">
        <v>68.62</v>
      </c>
      <c r="C56">
        <v>5</v>
      </c>
    </row>
    <row r="57" spans="1:3" x14ac:dyDescent="0.2">
      <c r="A57" t="s">
        <v>79</v>
      </c>
      <c r="B57">
        <v>45.41</v>
      </c>
      <c r="C57">
        <v>1</v>
      </c>
    </row>
    <row r="58" spans="1:3" x14ac:dyDescent="0.2">
      <c r="A58" t="s">
        <v>80</v>
      </c>
      <c r="B58">
        <v>50.87</v>
      </c>
      <c r="C58">
        <v>2</v>
      </c>
    </row>
    <row r="59" spans="1:3" x14ac:dyDescent="0.2">
      <c r="A59" t="s">
        <v>81</v>
      </c>
      <c r="B59">
        <v>51.54</v>
      </c>
      <c r="C59">
        <v>3</v>
      </c>
    </row>
    <row r="60" spans="1:3" x14ac:dyDescent="0.2">
      <c r="A60" t="s">
        <v>82</v>
      </c>
      <c r="B60">
        <v>62.72</v>
      </c>
      <c r="C60">
        <v>4</v>
      </c>
    </row>
    <row r="61" spans="1:3" x14ac:dyDescent="0.2">
      <c r="A61" t="s">
        <v>83</v>
      </c>
      <c r="B61">
        <v>66.430000000000007</v>
      </c>
      <c r="C61">
        <v>5</v>
      </c>
    </row>
    <row r="62" spans="1:3" x14ac:dyDescent="0.2">
      <c r="A62" t="s">
        <v>84</v>
      </c>
      <c r="B62">
        <v>68.06</v>
      </c>
      <c r="C62">
        <v>5</v>
      </c>
    </row>
    <row r="63" spans="1:3" x14ac:dyDescent="0.2">
      <c r="A63" t="s">
        <v>85</v>
      </c>
      <c r="B63">
        <v>46.43</v>
      </c>
      <c r="C63">
        <v>1</v>
      </c>
    </row>
    <row r="64" spans="1:3" x14ac:dyDescent="0.2">
      <c r="A64" t="s">
        <v>86</v>
      </c>
      <c r="B64">
        <v>71.91</v>
      </c>
      <c r="C64">
        <v>5</v>
      </c>
    </row>
    <row r="65" spans="1:3" x14ac:dyDescent="0.2">
      <c r="A65" t="s">
        <v>87</v>
      </c>
      <c r="B65">
        <v>66.03</v>
      </c>
      <c r="C65">
        <v>5</v>
      </c>
    </row>
    <row r="66" spans="1:3" x14ac:dyDescent="0.2">
      <c r="A66" t="s">
        <v>88</v>
      </c>
      <c r="B66">
        <v>66.5</v>
      </c>
      <c r="C66">
        <v>5</v>
      </c>
    </row>
    <row r="67" spans="1:3" x14ac:dyDescent="0.2">
      <c r="A67" t="s">
        <v>89</v>
      </c>
      <c r="B67">
        <v>54.8</v>
      </c>
      <c r="C67">
        <v>3</v>
      </c>
    </row>
    <row r="68" spans="1:3" x14ac:dyDescent="0.2">
      <c r="A68" t="s">
        <v>90</v>
      </c>
      <c r="B68">
        <v>61.02</v>
      </c>
      <c r="C68">
        <v>4</v>
      </c>
    </row>
  </sheetData>
  <mergeCells count="1">
    <mergeCell ref="B8:C8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A4EA3A6551B884998B2B8DC85050DE6" ma:contentTypeVersion="4" ma:contentTypeDescription="Create a new document." ma:contentTypeScope="" ma:versionID="1a1db6865379efb72d97d2c34593ab5a">
  <xsd:schema xmlns:xsd="http://www.w3.org/2001/XMLSchema" xmlns:xs="http://www.w3.org/2001/XMLSchema" xmlns:p="http://schemas.microsoft.com/office/2006/metadata/properties" xmlns:ns2="e59a1fad-32be-4a03-bf87-203c3d369488" targetNamespace="http://schemas.microsoft.com/office/2006/metadata/properties" ma:root="true" ma:fieldsID="008d52e269b9e9e40f3ea9482aee7afb" ns2:_="">
    <xsd:import namespace="e59a1fad-32be-4a03-bf87-203c3d36948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9a1fad-32be-4a03-bf87-203c3d36948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6727815-7A32-4360-AEE6-9DA91090502E}">
  <ds:schemaRefs>
    <ds:schemaRef ds:uri="http://www.w3.org/XML/1998/namespace"/>
    <ds:schemaRef ds:uri="http://purl.org/dc/elements/1.1/"/>
    <ds:schemaRef ds:uri="http://schemas.openxmlformats.org/package/2006/metadata/core-properties"/>
    <ds:schemaRef ds:uri="http://schemas.microsoft.com/office/2006/documentManagement/types"/>
    <ds:schemaRef ds:uri="http://schemas.microsoft.com/office/2006/metadata/properties"/>
    <ds:schemaRef ds:uri="http://schemas.microsoft.com/office/infopath/2007/PartnerControls"/>
    <ds:schemaRef ds:uri="http://purl.org/dc/terms/"/>
    <ds:schemaRef ds:uri="e59a1fad-32be-4a03-bf87-203c3d369488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299E3A71-9614-4BA8-AA13-B6EBB4AAD1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59a1fad-32be-4a03-bf87-203c3d36948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EF841C4-6CB5-410E-871F-E9C9CC6D0A2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Preview</vt:lpstr>
      <vt:lpstr>master</vt:lpstr>
      <vt:lpstr>group 1 - NA &amp; C</vt:lpstr>
      <vt:lpstr>group 2 - SA &amp; CA</vt:lpstr>
      <vt:lpstr>group 3 - EU, APAC, MENA </vt:lpstr>
      <vt:lpstr>country groupings</vt:lpstr>
      <vt:lpstr>trade-to-gdp ratio</vt:lpstr>
      <vt:lpstr>master t-t-gdp</vt:lpstr>
      <vt:lpstr>tariff rates</vt:lpstr>
      <vt:lpstr>master tariff rates</vt:lpstr>
      <vt:lpstr>political landscape</vt:lpstr>
      <vt:lpstr>master political landscape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ELLY ROSENBERGER</dc:creator>
  <cp:keywords/>
  <dc:description/>
  <cp:lastModifiedBy>Loyd, Kaden</cp:lastModifiedBy>
  <cp:revision/>
  <dcterms:created xsi:type="dcterms:W3CDTF">2025-03-29T01:07:59Z</dcterms:created>
  <dcterms:modified xsi:type="dcterms:W3CDTF">2025-05-21T15:44:20Z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0x0101004A4EA3A6551B884998B2B8DC85050DE6</vt:lpwstr>
  </property>
</Properties>
</file>